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Innomatics (Main Folder)\Excel Module\Excel Project\"/>
    </mc:Choice>
  </mc:AlternateContent>
  <xr:revisionPtr revIDLastSave="0" documentId="13_ncr:1_{CF3CDEE8-243B-46EA-AF71-EB18FF862C22}" xr6:coauthVersionLast="47" xr6:coauthVersionMax="47" xr10:uidLastSave="{00000000-0000-0000-0000-000000000000}"/>
  <bookViews>
    <workbookView xWindow="-108" yWindow="-108" windowWidth="23256" windowHeight="12456" activeTab="1" xr2:uid="{A6248883-C423-4FB5-B674-99218675FD2F}"/>
  </bookViews>
  <sheets>
    <sheet name="Pivot tables" sheetId="2" r:id="rId1"/>
    <sheet name="DashBoard" sheetId="3" r:id="rId2"/>
    <sheet name="amazon_sales_data 2025" sheetId="1" r:id="rId3"/>
  </sheets>
  <definedNames>
    <definedName name="Slicer_Category">#N/A</definedName>
    <definedName name="Slicer_Customer_Location">#N/A</definedName>
    <definedName name="Slicer_Month">#N/A</definedName>
    <definedName name="Slicer_Order_Status">#N/A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<sst xmlns="http://schemas.openxmlformats.org/spreadsheetml/2006/main" count="1816" uniqueCount="315">
  <si>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</si>
  <si>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</si>
  <si>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</si>
  <si>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</si>
  <si>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</si>
  <si>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</si>
  <si>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</si>
  <si>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</si>
  <si>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</si>
  <si>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</si>
  <si>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</si>
  <si>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</si>
  <si>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</si>
  <si>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</si>
  <si>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</si>
  <si>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</si>
  <si>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</si>
  <si>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</si>
  <si>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</si>
  <si>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</si>
  <si>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</si>
  <si>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</si>
  <si>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</si>
  <si>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</si>
  <si>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</si>
  <si>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</si>
  <si>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</si>
  <si>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</si>
  <si>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</si>
  <si>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</si>
  <si>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</si>
  <si>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</si>
  <si>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</si>
  <si>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</si>
  <si>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</si>
  <si>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</si>
  <si>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</si>
  <si>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</si>
  <si>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</si>
  <si>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</si>
  <si>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</si>
  <si>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</si>
  <si>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</si>
  <si>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</si>
  <si>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</si>
  <si>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</si>
  <si>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</si>
  <si>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</si>
  <si>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</si>
  <si>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</si>
  <si>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</si>
  <si>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</si>
  <si>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</si>
  <si>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</si>
  <si>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</si>
  <si>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</si>
  <si>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</si>
  <si>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</si>
  <si>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</si>
  <si>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</si>
  <si>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</si>
  <si>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</si>
  <si>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</si>
  <si>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</si>
  <si>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</si>
  <si>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</si>
  <si>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</si>
  <si>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</si>
  <si>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</si>
  <si>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</si>
  <si>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</si>
  <si>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</si>
  <si>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</si>
  <si>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</si>
  <si>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</si>
  <si>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</si>
  <si>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</si>
  <si>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</si>
  <si>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</si>
  <si>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</si>
  <si>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</si>
  <si>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</si>
  <si>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</si>
  <si>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</si>
  <si>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</si>
  <si>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</si>
  <si>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</si>
  <si>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</si>
  <si>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</si>
  <si>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</si>
  <si>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</si>
  <si>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</si>
  <si>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</si>
  <si>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</si>
  <si>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</si>
  <si>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</si>
  <si>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</si>
  <si>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</si>
  <si>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</si>
  <si>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</si>
  <si>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</si>
  <si>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</si>
  <si>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</si>
  <si>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</si>
  <si>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</si>
  <si>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</si>
  <si>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</si>
  <si>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</si>
  <si>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</si>
  <si>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</si>
  <si>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</si>
  <si>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</si>
  <si>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</si>
  <si>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</si>
  <si>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</si>
  <si>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</si>
  <si>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</si>
  <si>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</si>
  <si>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</si>
  <si>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</si>
  <si>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</si>
  <si>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</si>
  <si>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</si>
  <si>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</si>
  <si>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</si>
  <si>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</si>
  <si>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</si>
  <si>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</si>
  <si>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</si>
  <si>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</si>
  <si>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</si>
  <si>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</si>
  <si>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</si>
  <si>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</si>
  <si>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</si>
  <si>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</si>
  <si>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</si>
  <si>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</si>
  <si>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</si>
  <si>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</si>
  <si>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</si>
  <si>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</si>
  <si>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</si>
  <si>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</si>
  <si>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</si>
  <si>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</si>
  <si>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</si>
  <si>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</si>
  <si>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</si>
  <si>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</si>
  <si>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</si>
  <si>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</si>
  <si>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</si>
  <si>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</si>
  <si>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</si>
  <si>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</si>
  <si>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</si>
  <si>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</si>
  <si>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</si>
  <si>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</si>
  <si>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</si>
  <si>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</si>
  <si>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</si>
  <si>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</si>
  <si>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</si>
  <si>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</si>
  <si>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</si>
  <si>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</si>
  <si>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</si>
  <si>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</si>
  <si>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</si>
  <si>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</si>
  <si>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</si>
  <si>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</si>
  <si>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</si>
  <si>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</si>
  <si>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</si>
  <si>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</si>
  <si>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</si>
  <si>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</si>
  <si>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</si>
  <si>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</si>
  <si>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</si>
  <si>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</si>
  <si>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</si>
  <si>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</si>
  <si>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</si>
  <si>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</si>
  <si>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</si>
  <si>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</si>
  <si>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</si>
  <si>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</si>
  <si>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</si>
  <si>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</si>
  <si>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</si>
  <si>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</si>
  <si>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</si>
  <si>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</si>
  <si>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</si>
  <si>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</si>
  <si>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</si>
  <si>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</si>
  <si>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</si>
  <si>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</si>
  <si>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</si>
  <si>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</si>
  <si>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</si>
  <si>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</si>
  <si>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</si>
  <si>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</si>
  <si>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</si>
  <si>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</si>
  <si>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</si>
  <si>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</si>
  <si>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</si>
  <si>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</si>
  <si>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</si>
  <si>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</si>
  <si>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</si>
  <si>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</si>
  <si>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</si>
  <si>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</si>
  <si>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</si>
  <si>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</si>
  <si>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</si>
  <si>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</si>
  <si>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</si>
  <si>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</si>
  <si>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</si>
  <si>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</si>
  <si>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</si>
  <si>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</si>
  <si>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</si>
  <si>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</si>
  <si>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</si>
  <si>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</si>
  <si>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</si>
  <si>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</si>
  <si>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</si>
  <si>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</si>
  <si>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</si>
  <si>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</si>
  <si>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</si>
  <si>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</si>
  <si>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</si>
  <si>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</si>
  <si>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</si>
  <si>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</si>
  <si>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</si>
  <si>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</si>
  <si>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</si>
  <si>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</si>
  <si>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</si>
  <si>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</si>
  <si>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</si>
  <si>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</si>
  <si>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</si>
  <si>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</si>
  <si>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</si>
  <si>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</si>
  <si>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</si>
  <si>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</si>
  <si>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</si>
  <si>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</si>
  <si>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</si>
  <si>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</si>
  <si>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</si>
  <si>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</si>
  <si>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</si>
  <si>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</si>
  <si>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</si>
  <si>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</si>
  <si>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</si>
  <si>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</si>
  <si>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</si>
  <si>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</si>
  <si>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</si>
  <si>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</si>
  <si>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</si>
  <si>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</si>
  <si>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</si>
  <si>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</si>
  <si>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</si>
  <si>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</si>
  <si>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</si>
  <si>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</si>
  <si>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</si>
  <si>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</si>
  <si>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</si>
  <si>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</si>
  <si>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</si>
  <si>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</si>
  <si>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</si>
  <si>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</si>
  <si>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</si>
  <si>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</si>
  <si>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</si>
  <si>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</si>
  <si>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</si>
  <si>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</si>
  <si>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</si>
  <si>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</si>
  <si>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</si>
  <si>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</si>
  <si>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</si>
  <si>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Order Status</t>
  </si>
  <si>
    <t>Row Labels</t>
  </si>
  <si>
    <t>Grand Total</t>
  </si>
  <si>
    <t>Sum of Total Sales</t>
  </si>
  <si>
    <t>Count of Payment Method</t>
  </si>
  <si>
    <t>Delivered</t>
  </si>
  <si>
    <t>Count of Order Status</t>
  </si>
  <si>
    <t>Sum of Quantity</t>
  </si>
  <si>
    <t>Count of Order ID</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</si>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</sst>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6"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latin typeface="Times New Roman" panose="02020603050405020304" pitchFamily="18" charset="0"/>
                <a:cs typeface="Times New Roman" panose="02020603050405020304" pitchFamily="18" charset="0"/>
              </a:rPr>
              <a:t>Total Sales By Category</a:t>
            </a:r>
          </a:p>
        </c:rich>
      </c:tx>
      <c:layout>
        <c:manualLayout>
          <c:xMode val="edge"/>
          <c:yMode val="edge"/>
          <c:x val="0.33733786713064068"/>
          <c:y val="8.7153859436804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tables'!$A$4:$A$5</c:f>
              <c:strCache>
                <c:ptCount val="1"/>
                <c:pt idx="0">
                  <c:v>Home Appliances</c:v>
                </c:pt>
              </c:strCache>
            </c:strRef>
          </c:cat>
          <c:val>
            <c:numRef>
              <c:f>'Pivot tables'!$B$4:$B$5</c:f>
              <c:numCache>
                <c:formatCode>"₹"\ #,##0</c:formatCode>
                <c:ptCount val="1"/>
                <c:pt idx="0">
                  <c:v>105000</c:v>
                </c:pt>
              </c:numCache>
            </c:numRef>
          </c:val>
          <c:extLst>
            <c:ext xmlns:c16="http://schemas.microsoft.com/office/drawing/2014/chart" uri="{C3380CC4-5D6E-409C-BE32-E72D297353CC}">
              <c16:uniqueId val="{00000000-BA2D-4899-A49F-C99F826F8D31}"/>
            </c:ext>
          </c:extLst>
        </c:ser>
        <c:dLbls>
          <c:showLegendKey val="0"/>
          <c:showVal val="1"/>
          <c:showCatName val="0"/>
          <c:showSerName val="0"/>
          <c:showPercent val="0"/>
          <c:showBubbleSize val="0"/>
        </c:dLbls>
        <c:gapWidth val="150"/>
        <c:shape val="box"/>
        <c:axId val="772795648"/>
        <c:axId val="442254160"/>
        <c:axId val="0"/>
      </c:bar3DChart>
      <c:catAx>
        <c:axId val="77279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2254160"/>
        <c:crosses val="autoZero"/>
        <c:auto val="1"/>
        <c:lblAlgn val="ctr"/>
        <c:lblOffset val="100"/>
        <c:noMultiLvlLbl val="0"/>
      </c:catAx>
      <c:valAx>
        <c:axId val="44225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79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 tables!PivotTable2</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200">
                <a:latin typeface="Times New Roman" panose="02020603050405020304" pitchFamily="18" charset="0"/>
                <a:cs typeface="Times New Roman" panose="02020603050405020304" pitchFamily="18" charset="0"/>
              </a:rPr>
              <a:t>Total Sales By Product</a:t>
            </a:r>
          </a:p>
        </c:rich>
      </c:tx>
      <c:layout>
        <c:manualLayout>
          <c:xMode val="edge"/>
          <c:yMode val="edge"/>
          <c:x val="0.32659011373578301"/>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tables'!$D$4:$D$6</c:f>
              <c:strCache>
                <c:ptCount val="2"/>
                <c:pt idx="0">
                  <c:v>Refrigerator</c:v>
                </c:pt>
                <c:pt idx="1">
                  <c:v>Washing Machine</c:v>
                </c:pt>
              </c:strCache>
            </c:strRef>
          </c:cat>
          <c:val>
            <c:numRef>
              <c:f>'Pivot tables'!$E$4:$E$6</c:f>
              <c:numCache>
                <c:formatCode>"₹"\ #,##0</c:formatCode>
                <c:ptCount val="2"/>
                <c:pt idx="0">
                  <c:v>78000</c:v>
                </c:pt>
                <c:pt idx="1">
                  <c:v>27000</c:v>
                </c:pt>
              </c:numCache>
            </c:numRef>
          </c:val>
          <c:extLst>
            <c:ext xmlns:c16="http://schemas.microsoft.com/office/drawing/2014/chart" uri="{C3380CC4-5D6E-409C-BE32-E72D297353CC}">
              <c16:uniqueId val="{00000000-A544-4919-9A06-2B28B55A24FC}"/>
            </c:ext>
          </c:extLst>
        </c:ser>
        <c:dLbls>
          <c:showLegendKey val="0"/>
          <c:showVal val="1"/>
          <c:showCatName val="0"/>
          <c:showSerName val="0"/>
          <c:showPercent val="0"/>
          <c:showBubbleSize val="0"/>
        </c:dLbls>
        <c:gapWidth val="150"/>
        <c:shape val="box"/>
        <c:axId val="762312672"/>
        <c:axId val="784731952"/>
        <c:axId val="0"/>
      </c:bar3DChart>
      <c:catAx>
        <c:axId val="7623126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731952"/>
        <c:crosses val="autoZero"/>
        <c:auto val="1"/>
        <c:lblAlgn val="ctr"/>
        <c:lblOffset val="100"/>
        <c:noMultiLvlLbl val="0"/>
      </c:catAx>
      <c:valAx>
        <c:axId val="784731952"/>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23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Times New Roman" panose="02020603050405020304" pitchFamily="18" charset="0"/>
                <a:cs typeface="Times New Roman" panose="02020603050405020304" pitchFamily="18" charset="0"/>
              </a:rPr>
              <a:t>Payment Methods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BB7-439B-A749-34439177BC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BB7-439B-A749-34439177BC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BB7-439B-A749-34439177BC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BB7-439B-A749-34439177BC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BB7-439B-A749-34439177BC4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tables'!$A$19:$A$24</c:f>
              <c:strCache>
                <c:ptCount val="5"/>
                <c:pt idx="0">
                  <c:v>PayPal</c:v>
                </c:pt>
                <c:pt idx="1">
                  <c:v>Credit Card</c:v>
                </c:pt>
                <c:pt idx="2">
                  <c:v>Gift Card</c:v>
                </c:pt>
                <c:pt idx="3">
                  <c:v>Debit Card</c:v>
                </c:pt>
                <c:pt idx="4">
                  <c:v>Amazon Pay</c:v>
                </c:pt>
              </c:strCache>
            </c:strRef>
          </c:cat>
          <c:val>
            <c:numRef>
              <c:f>'Pivot tables'!$B$19:$B$24</c:f>
              <c:numCache>
                <c:formatCode>General</c:formatCode>
                <c:ptCount val="5"/>
                <c:pt idx="0">
                  <c:v>13</c:v>
                </c:pt>
                <c:pt idx="1">
                  <c:v>10</c:v>
                </c:pt>
                <c:pt idx="2">
                  <c:v>9</c:v>
                </c:pt>
                <c:pt idx="3">
                  <c:v>5</c:v>
                </c:pt>
                <c:pt idx="4">
                  <c:v>3</c:v>
                </c:pt>
              </c:numCache>
            </c:numRef>
          </c:val>
          <c:extLst>
            <c:ext xmlns:c16="http://schemas.microsoft.com/office/drawing/2014/chart" uri="{C3380CC4-5D6E-409C-BE32-E72D297353CC}">
              <c16:uniqueId val="{0000000A-3BB7-439B-A749-34439177BC4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latin typeface="Times New Roman" panose="02020603050405020304" pitchFamily="18" charset="0"/>
                <a:cs typeface="Times New Roman" panose="02020603050405020304" pitchFamily="18" charset="0"/>
              </a:rPr>
              <a:t>Order Status Breakdown</a:t>
            </a:r>
          </a:p>
        </c:rich>
      </c:tx>
      <c:layout>
        <c:manualLayout>
          <c:xMode val="edge"/>
          <c:yMode val="edge"/>
          <c:x val="0.32382850498738219"/>
          <c:y val="0.13325540960452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4219858156028282E-2"/>
              <c:y val="-9.887005649717514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617021276595744"/>
              <c:y val="4.70809792843691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8758865248226951E-2"/>
              <c:y val="-0.12711864406779666"/>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9C-4FED-B01F-484A85F623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9C-4FED-B01F-484A85F623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9C-4FED-B01F-484A85F623D8}"/>
              </c:ext>
            </c:extLst>
          </c:dPt>
          <c:dLbls>
            <c:dLbl>
              <c:idx val="0"/>
              <c:layout>
                <c:manualLayout>
                  <c:x val="8.4219858156028282E-2"/>
                  <c:y val="-9.8870056497175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9C-4FED-B01F-484A85F623D8}"/>
                </c:ext>
              </c:extLst>
            </c:dLbl>
            <c:dLbl>
              <c:idx val="1"/>
              <c:layout>
                <c:manualLayout>
                  <c:x val="0.18617021276595744"/>
                  <c:y val="4.7080979284369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9C-4FED-B01F-484A85F623D8}"/>
                </c:ext>
              </c:extLst>
            </c:dLbl>
            <c:dLbl>
              <c:idx val="2"/>
              <c:layout>
                <c:manualLayout>
                  <c:x val="-4.8758865248226951E-2"/>
                  <c:y val="-0.12711864406779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9C-4FED-B01F-484A85F623D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tables'!$D$19:$D$22</c:f>
              <c:strCache>
                <c:ptCount val="3"/>
                <c:pt idx="0">
                  <c:v>Cancelled</c:v>
                </c:pt>
                <c:pt idx="1">
                  <c:v>Delivered</c:v>
                </c:pt>
                <c:pt idx="2">
                  <c:v>Pending</c:v>
                </c:pt>
              </c:strCache>
            </c:strRef>
          </c:cat>
          <c:val>
            <c:numRef>
              <c:f>'Pivot tables'!$E$19:$E$22</c:f>
              <c:numCache>
                <c:formatCode>0.00%</c:formatCode>
                <c:ptCount val="3"/>
                <c:pt idx="0">
                  <c:v>0.4</c:v>
                </c:pt>
                <c:pt idx="1">
                  <c:v>0.32500000000000001</c:v>
                </c:pt>
                <c:pt idx="2">
                  <c:v>0.27500000000000002</c:v>
                </c:pt>
              </c:numCache>
            </c:numRef>
          </c:val>
          <c:extLst>
            <c:ext xmlns:c16="http://schemas.microsoft.com/office/drawing/2014/chart" uri="{C3380CC4-5D6E-409C-BE32-E72D297353CC}">
              <c16:uniqueId val="{00000006-789C-4FED-B01F-484A85F623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 tables!PivotTable3</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200">
                <a:latin typeface="Times New Roman" panose="02020603050405020304" pitchFamily="18" charset="0"/>
                <a:cs typeface="Times New Roman" panose="02020603050405020304" pitchFamily="18" charset="0"/>
              </a:rPr>
              <a:t>Sales by</a:t>
            </a:r>
            <a:r>
              <a:rPr lang="en-US" sz="1200" baseline="0">
                <a:latin typeface="Times New Roman" panose="02020603050405020304" pitchFamily="18" charset="0"/>
                <a:cs typeface="Times New Roman" panose="02020603050405020304" pitchFamily="18" charset="0"/>
              </a:rPr>
              <a:t> Customer Location</a:t>
            </a:r>
            <a:endParaRPr lang="en-US" sz="1200">
              <a:latin typeface="Times New Roman" panose="02020603050405020304" pitchFamily="18" charset="0"/>
              <a:cs typeface="Times New Roman" panose="02020603050405020304" pitchFamily="18" charset="0"/>
            </a:endParaRPr>
          </a:p>
        </c:rich>
      </c:tx>
      <c:layout>
        <c:manualLayout>
          <c:xMode val="edge"/>
          <c:yMode val="edge"/>
          <c:x val="0.39941300299052063"/>
          <c:y val="6.22891890923233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Dallas</c:v>
                </c:pt>
                <c:pt idx="1">
                  <c:v>Seattle</c:v>
                </c:pt>
                <c:pt idx="2">
                  <c:v>Denver</c:v>
                </c:pt>
                <c:pt idx="3">
                  <c:v>Boston</c:v>
                </c:pt>
                <c:pt idx="4">
                  <c:v>Miami</c:v>
                </c:pt>
                <c:pt idx="5">
                  <c:v>Houston</c:v>
                </c:pt>
                <c:pt idx="6">
                  <c:v>Chicago</c:v>
                </c:pt>
                <c:pt idx="7">
                  <c:v>New York</c:v>
                </c:pt>
                <c:pt idx="8">
                  <c:v>Los Angeles</c:v>
                </c:pt>
                <c:pt idx="9">
                  <c:v>San Francisco</c:v>
                </c:pt>
              </c:strCache>
            </c:strRef>
          </c:cat>
          <c:val>
            <c:numRef>
              <c:f>'Pivot tables'!$H$4:$H$14</c:f>
              <c:numCache>
                <c:formatCode>"₹"\ #,##0</c:formatCode>
                <c:ptCount val="10"/>
                <c:pt idx="0">
                  <c:v>19200</c:v>
                </c:pt>
                <c:pt idx="1">
                  <c:v>15600</c:v>
                </c:pt>
                <c:pt idx="2">
                  <c:v>15000</c:v>
                </c:pt>
                <c:pt idx="3">
                  <c:v>12600</c:v>
                </c:pt>
                <c:pt idx="4">
                  <c:v>10200</c:v>
                </c:pt>
                <c:pt idx="5">
                  <c:v>9600</c:v>
                </c:pt>
                <c:pt idx="6">
                  <c:v>7200</c:v>
                </c:pt>
                <c:pt idx="7">
                  <c:v>7200</c:v>
                </c:pt>
                <c:pt idx="8">
                  <c:v>6000</c:v>
                </c:pt>
                <c:pt idx="9">
                  <c:v>2400</c:v>
                </c:pt>
              </c:numCache>
            </c:numRef>
          </c:val>
          <c:extLst>
            <c:ext xmlns:c16="http://schemas.microsoft.com/office/drawing/2014/chart" uri="{C3380CC4-5D6E-409C-BE32-E72D297353CC}">
              <c16:uniqueId val="{00000000-DFAE-4002-8345-0AA914FA9053}"/>
            </c:ext>
          </c:extLst>
        </c:ser>
        <c:dLbls>
          <c:showLegendKey val="0"/>
          <c:showVal val="1"/>
          <c:showCatName val="0"/>
          <c:showSerName val="0"/>
          <c:showPercent val="0"/>
          <c:showBubbleSize val="0"/>
        </c:dLbls>
        <c:gapWidth val="150"/>
        <c:shape val="box"/>
        <c:axId val="772792400"/>
        <c:axId val="784716112"/>
        <c:axId val="0"/>
      </c:bar3DChart>
      <c:catAx>
        <c:axId val="77279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716112"/>
        <c:crosses val="autoZero"/>
        <c:auto val="1"/>
        <c:lblAlgn val="ctr"/>
        <c:lblOffset val="100"/>
        <c:noMultiLvlLbl val="0"/>
      </c:catAx>
      <c:valAx>
        <c:axId val="784716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7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81780</xdr:rowOff>
    </xdr:from>
    <xdr:to>
      <xdr:col>6</xdr:col>
      <xdr:colOff>38100</xdr:colOff>
      <xdr:row>24</xdr:row>
      <xdr:rowOff>109990</xdr:rowOff>
    </xdr:to>
    <xdr:graphicFrame macro="">
      <xdr:nvGraphicFramePr>
        <xdr:cNvPr id="2" name="Chart 1">
          <a:extLst>
            <a:ext uri="{FF2B5EF4-FFF2-40B4-BE49-F238E27FC236}">
              <a16:creationId xmlns:a16="http://schemas.microsoft.com/office/drawing/2014/main" id="{538038DE-34E1-4663-B8EE-B7DAF039F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13073063" cy="1651000"/>
    <xdr:sp macro="" textlink="">
      <xdr:nvSpPr>
        <xdr:cNvPr id="3" name="TextBox 2">
          <a:extLst>
            <a:ext uri="{FF2B5EF4-FFF2-40B4-BE49-F238E27FC236}">
              <a16:creationId xmlns:a16="http://schemas.microsoft.com/office/drawing/2014/main" id="{0151F6C7-A732-FED4-B79E-BF7419A2BFE8}"/>
            </a:ext>
          </a:extLst>
        </xdr:cNvPr>
        <xdr:cNvSpPr txBox="1"/>
      </xdr:nvSpPr>
      <xdr:spPr>
        <a:xfrm>
          <a:off x="0" y="0"/>
          <a:ext cx="13073063" cy="165100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200" b="1">
              <a:solidFill>
                <a:schemeClr val="accent2">
                  <a:lumMod val="50000"/>
                </a:schemeClr>
              </a:solidFill>
              <a:latin typeface="Times New Roman" panose="02020603050405020304" pitchFamily="18" charset="0"/>
              <a:cs typeface="Times New Roman" panose="02020603050405020304" pitchFamily="18" charset="0"/>
            </a:rPr>
            <a:t>Amazon Sales Analytics Dashboard</a:t>
          </a:r>
          <a:r>
            <a:rPr lang="en-IN" sz="3200" b="1" baseline="0">
              <a:solidFill>
                <a:schemeClr val="accent2">
                  <a:lumMod val="50000"/>
                </a:schemeClr>
              </a:solidFill>
              <a:latin typeface="Times New Roman" panose="02020603050405020304" pitchFamily="18" charset="0"/>
              <a:cs typeface="Times New Roman" panose="02020603050405020304" pitchFamily="18" charset="0"/>
            </a:rPr>
            <a:t>-2025</a:t>
          </a:r>
          <a:endParaRPr lang="en-IN" sz="32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6</xdr:col>
      <xdr:colOff>97367</xdr:colOff>
      <xdr:row>9</xdr:row>
      <xdr:rowOff>137582</xdr:rowOff>
    </xdr:from>
    <xdr:to>
      <xdr:col>13</xdr:col>
      <xdr:colOff>454121</xdr:colOff>
      <xdr:row>24</xdr:row>
      <xdr:rowOff>117685</xdr:rowOff>
    </xdr:to>
    <xdr:graphicFrame macro="">
      <xdr:nvGraphicFramePr>
        <xdr:cNvPr id="6" name="Chart 5">
          <a:extLst>
            <a:ext uri="{FF2B5EF4-FFF2-40B4-BE49-F238E27FC236}">
              <a16:creationId xmlns:a16="http://schemas.microsoft.com/office/drawing/2014/main" id="{677FFCB2-E9C8-4293-86B2-A6DAE0502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167179</xdr:rowOff>
    </xdr:from>
    <xdr:to>
      <xdr:col>6</xdr:col>
      <xdr:colOff>15240</xdr:colOff>
      <xdr:row>41</xdr:row>
      <xdr:rowOff>68311</xdr:rowOff>
    </xdr:to>
    <xdr:graphicFrame macro="">
      <xdr:nvGraphicFramePr>
        <xdr:cNvPr id="7" name="Chart 6">
          <a:extLst>
            <a:ext uri="{FF2B5EF4-FFF2-40B4-BE49-F238E27FC236}">
              <a16:creationId xmlns:a16="http://schemas.microsoft.com/office/drawing/2014/main" id="{717FE7CA-D88D-446A-9C1E-08B71C5B6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514774</xdr:colOff>
      <xdr:row>9</xdr:row>
      <xdr:rowOff>128270</xdr:rowOff>
    </xdr:from>
    <xdr:to>
      <xdr:col>18</xdr:col>
      <xdr:colOff>179494</xdr:colOff>
      <xdr:row>24</xdr:row>
      <xdr:rowOff>115455</xdr:rowOff>
    </xdr:to>
    <xdr:graphicFrame macro="">
      <xdr:nvGraphicFramePr>
        <xdr:cNvPr id="8" name="Chart 7">
          <a:extLst>
            <a:ext uri="{FF2B5EF4-FFF2-40B4-BE49-F238E27FC236}">
              <a16:creationId xmlns:a16="http://schemas.microsoft.com/office/drawing/2014/main" id="{D3BA4581-0EA7-4D16-A1E9-066A032BA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58690</xdr:colOff>
      <xdr:row>24</xdr:row>
      <xdr:rowOff>165485</xdr:rowOff>
    </xdr:from>
    <xdr:to>
      <xdr:col>18</xdr:col>
      <xdr:colOff>136621</xdr:colOff>
      <xdr:row>41</xdr:row>
      <xdr:rowOff>89478</xdr:rowOff>
    </xdr:to>
    <xdr:graphicFrame macro="">
      <xdr:nvGraphicFramePr>
        <xdr:cNvPr id="9" name="Chart 8">
          <a:extLst>
            <a:ext uri="{FF2B5EF4-FFF2-40B4-BE49-F238E27FC236}">
              <a16:creationId xmlns:a16="http://schemas.microsoft.com/office/drawing/2014/main" id="{2BC8A97E-3924-4AF6-98CA-4C13DC50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256885</xdr:colOff>
      <xdr:row>15</xdr:row>
      <xdr:rowOff>141434</xdr:rowOff>
    </xdr:from>
    <xdr:to>
      <xdr:col>21</xdr:col>
      <xdr:colOff>306917</xdr:colOff>
      <xdr:row>24</xdr:row>
      <xdr:rowOff>115456</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0B8FE2F-781A-457B-B1B1-98F4B9930D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11572" y="2870986"/>
              <a:ext cx="1892479" cy="1611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265545</xdr:colOff>
      <xdr:row>35</xdr:row>
      <xdr:rowOff>20205</xdr:rowOff>
    </xdr:from>
    <xdr:to>
      <xdr:col>21</xdr:col>
      <xdr:colOff>328082</xdr:colOff>
      <xdr:row>41</xdr:row>
      <xdr:rowOff>98136</xdr:rowOff>
    </xdr:to>
    <mc:AlternateContent xmlns:mc="http://schemas.openxmlformats.org/markup-compatibility/2006">
      <mc:Choice xmlns:a14="http://schemas.microsoft.com/office/drawing/2010/main" Requires="a14">
        <xdr:graphicFrame macro="">
          <xdr:nvGraphicFramePr>
            <xdr:cNvPr id="11" name="Order Status">
              <a:extLst>
                <a:ext uri="{FF2B5EF4-FFF2-40B4-BE49-F238E27FC236}">
                  <a16:creationId xmlns:a16="http://schemas.microsoft.com/office/drawing/2014/main" id="{0B930899-BC7D-4181-9903-1057D475217A}"/>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11320232" y="6389160"/>
              <a:ext cx="1904984" cy="1169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258811</xdr:colOff>
      <xdr:row>9</xdr:row>
      <xdr:rowOff>26939</xdr:rowOff>
    </xdr:from>
    <xdr:to>
      <xdr:col>21</xdr:col>
      <xdr:colOff>296332</xdr:colOff>
      <xdr:row>15</xdr:row>
      <xdr:rowOff>68311</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E408C1D0-C0F3-4C36-BFD9-9B792D2936C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313498" y="1664670"/>
              <a:ext cx="1879968" cy="1133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256886</xdr:colOff>
      <xdr:row>25</xdr:row>
      <xdr:rowOff>10583</xdr:rowOff>
    </xdr:from>
    <xdr:to>
      <xdr:col>21</xdr:col>
      <xdr:colOff>328083</xdr:colOff>
      <xdr:row>34</xdr:row>
      <xdr:rowOff>95250</xdr:rowOff>
    </xdr:to>
    <mc:AlternateContent xmlns:mc="http://schemas.openxmlformats.org/markup-compatibility/2006">
      <mc:Choice xmlns:a14="http://schemas.microsoft.com/office/drawing/2010/main" Requires="a14">
        <xdr:graphicFrame macro="">
          <xdr:nvGraphicFramePr>
            <xdr:cNvPr id="13" name="Customer Location">
              <a:extLst>
                <a:ext uri="{FF2B5EF4-FFF2-40B4-BE49-F238E27FC236}">
                  <a16:creationId xmlns:a16="http://schemas.microsoft.com/office/drawing/2014/main" id="{97974185-D135-441F-8494-B4CAD87F5E7F}"/>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1311573" y="4559837"/>
              <a:ext cx="1913644" cy="1722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389913</xdr:colOff>
      <xdr:row>3</xdr:row>
      <xdr:rowOff>105833</xdr:rowOff>
    </xdr:from>
    <xdr:to>
      <xdr:col>4</xdr:col>
      <xdr:colOff>560917</xdr:colOff>
      <xdr:row>8</xdr:row>
      <xdr:rowOff>113632</xdr:rowOff>
    </xdr:to>
    <xdr:sp macro="" textlink="'Pivot tables'!K6">
      <xdr:nvSpPr>
        <xdr:cNvPr id="24" name="Rectangle: Rounded Corners 23">
          <a:extLst>
            <a:ext uri="{FF2B5EF4-FFF2-40B4-BE49-F238E27FC236}">
              <a16:creationId xmlns:a16="http://schemas.microsoft.com/office/drawing/2014/main" id="{177C6C1A-6D4F-E104-6B20-3A78D1B260CC}"/>
            </a:ext>
          </a:extLst>
        </xdr:cNvPr>
        <xdr:cNvSpPr/>
      </xdr:nvSpPr>
      <xdr:spPr>
        <a:xfrm>
          <a:off x="389913" y="645583"/>
          <a:ext cx="2626337" cy="90738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F6B331-FAC1-4878-946F-1A10BD29645C}"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 1,05,000</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5</xdr:col>
      <xdr:colOff>389354</xdr:colOff>
      <xdr:row>3</xdr:row>
      <xdr:rowOff>105833</xdr:rowOff>
    </xdr:from>
    <xdr:to>
      <xdr:col>10</xdr:col>
      <xdr:colOff>105834</xdr:colOff>
      <xdr:row>8</xdr:row>
      <xdr:rowOff>95250</xdr:rowOff>
    </xdr:to>
    <xdr:sp macro="" textlink="'Pivot tables'!K10">
      <xdr:nvSpPr>
        <xdr:cNvPr id="28" name="Rectangle: Rounded Corners 27">
          <a:extLst>
            <a:ext uri="{FF2B5EF4-FFF2-40B4-BE49-F238E27FC236}">
              <a16:creationId xmlns:a16="http://schemas.microsoft.com/office/drawing/2014/main" id="{8CA399E0-BF77-E405-40DB-5D58DC458809}"/>
            </a:ext>
          </a:extLst>
        </xdr:cNvPr>
        <xdr:cNvSpPr/>
      </xdr:nvSpPr>
      <xdr:spPr>
        <a:xfrm>
          <a:off x="3458521" y="645583"/>
          <a:ext cx="2785646" cy="889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3A9835-73D3-4CB6-9B88-59D37475EBA9}"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110</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10</xdr:col>
      <xdr:colOff>582084</xdr:colOff>
      <xdr:row>3</xdr:row>
      <xdr:rowOff>84667</xdr:rowOff>
    </xdr:from>
    <xdr:to>
      <xdr:col>15</xdr:col>
      <xdr:colOff>243417</xdr:colOff>
      <xdr:row>8</xdr:row>
      <xdr:rowOff>105833</xdr:rowOff>
    </xdr:to>
    <xdr:sp macro="" textlink="'Pivot tables'!K13">
      <xdr:nvSpPr>
        <xdr:cNvPr id="31" name="Rectangle: Rounded Corners 30">
          <a:extLst>
            <a:ext uri="{FF2B5EF4-FFF2-40B4-BE49-F238E27FC236}">
              <a16:creationId xmlns:a16="http://schemas.microsoft.com/office/drawing/2014/main" id="{0450D7CD-D4FD-E3E0-CEC0-37002C2D69D6}"/>
            </a:ext>
          </a:extLst>
        </xdr:cNvPr>
        <xdr:cNvSpPr/>
      </xdr:nvSpPr>
      <xdr:spPr>
        <a:xfrm>
          <a:off x="6720417" y="624417"/>
          <a:ext cx="2730500" cy="920749"/>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9C720C-7314-4421-916F-E98A331EEEC7}"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40</a:t>
          </a:fld>
          <a:endParaRPr lang="en-IN" sz="2400">
            <a:latin typeface="Times New Roman" panose="02020603050405020304" pitchFamily="18" charset="0"/>
            <a:cs typeface="Times New Roman" panose="02020603050405020304" pitchFamily="18" charset="0"/>
          </a:endParaRPr>
        </a:p>
      </xdr:txBody>
    </xdr:sp>
    <xdr:clientData/>
  </xdr:twoCellAnchor>
  <xdr:oneCellAnchor>
    <xdr:from>
      <xdr:col>1</xdr:col>
      <xdr:colOff>465667</xdr:colOff>
      <xdr:row>3</xdr:row>
      <xdr:rowOff>158750</xdr:rowOff>
    </xdr:from>
    <xdr:ext cx="1216743" cy="357790"/>
    <xdr:sp macro="" textlink="">
      <xdr:nvSpPr>
        <xdr:cNvPr id="32" name="TextBox 31">
          <a:extLst>
            <a:ext uri="{FF2B5EF4-FFF2-40B4-BE49-F238E27FC236}">
              <a16:creationId xmlns:a16="http://schemas.microsoft.com/office/drawing/2014/main" id="{CDA8EC6A-5EC7-25B4-E631-1E402320D9D1}"/>
            </a:ext>
          </a:extLst>
        </xdr:cNvPr>
        <xdr:cNvSpPr txBox="1"/>
      </xdr:nvSpPr>
      <xdr:spPr>
        <a:xfrm>
          <a:off x="1079500" y="698500"/>
          <a:ext cx="121674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latin typeface="Times New Roman" panose="02020603050405020304" pitchFamily="18" charset="0"/>
              <a:cs typeface="Times New Roman" panose="02020603050405020304" pitchFamily="18" charset="0"/>
            </a:rPr>
            <a:t>Total Sales</a:t>
          </a:r>
        </a:p>
      </xdr:txBody>
    </xdr:sp>
    <xdr:clientData/>
  </xdr:oneCellAnchor>
  <xdr:oneCellAnchor>
    <xdr:from>
      <xdr:col>6</xdr:col>
      <xdr:colOff>222249</xdr:colOff>
      <xdr:row>3</xdr:row>
      <xdr:rowOff>169333</xdr:rowOff>
    </xdr:from>
    <xdr:ext cx="2018309" cy="357790"/>
    <xdr:sp macro="" textlink="">
      <xdr:nvSpPr>
        <xdr:cNvPr id="33" name="TextBox 32">
          <a:extLst>
            <a:ext uri="{FF2B5EF4-FFF2-40B4-BE49-F238E27FC236}">
              <a16:creationId xmlns:a16="http://schemas.microsoft.com/office/drawing/2014/main" id="{2026A945-94F4-C221-EB52-0D8EA4615D27}"/>
            </a:ext>
          </a:extLst>
        </xdr:cNvPr>
        <xdr:cNvSpPr txBox="1"/>
      </xdr:nvSpPr>
      <xdr:spPr>
        <a:xfrm>
          <a:off x="3905249" y="709083"/>
          <a:ext cx="201830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latin typeface="Times New Roman" panose="02020603050405020304" pitchFamily="18" charset="0"/>
              <a:cs typeface="Times New Roman" panose="02020603050405020304" pitchFamily="18" charset="0"/>
            </a:rPr>
            <a:t>Total Quantity Sold</a:t>
          </a:r>
        </a:p>
      </xdr:txBody>
    </xdr:sp>
    <xdr:clientData/>
  </xdr:oneCellAnchor>
  <xdr:oneCellAnchor>
    <xdr:from>
      <xdr:col>12</xdr:col>
      <xdr:colOff>10583</xdr:colOff>
      <xdr:row>3</xdr:row>
      <xdr:rowOff>158750</xdr:rowOff>
    </xdr:from>
    <xdr:ext cx="1357679" cy="357790"/>
    <xdr:sp macro="" textlink="">
      <xdr:nvSpPr>
        <xdr:cNvPr id="34" name="TextBox 33">
          <a:extLst>
            <a:ext uri="{FF2B5EF4-FFF2-40B4-BE49-F238E27FC236}">
              <a16:creationId xmlns:a16="http://schemas.microsoft.com/office/drawing/2014/main" id="{64147A1B-7318-176B-C072-86A928407220}"/>
            </a:ext>
          </a:extLst>
        </xdr:cNvPr>
        <xdr:cNvSpPr txBox="1"/>
      </xdr:nvSpPr>
      <xdr:spPr>
        <a:xfrm>
          <a:off x="7376583" y="698500"/>
          <a:ext cx="135767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latin typeface="Times New Roman" panose="02020603050405020304" pitchFamily="18" charset="0"/>
              <a:cs typeface="Times New Roman" panose="02020603050405020304" pitchFamily="18" charset="0"/>
            </a:rPr>
            <a:t>Total Orders</a:t>
          </a:r>
        </a:p>
      </xdr:txBody>
    </xdr:sp>
    <xdr:clientData/>
  </xdr:oneCellAnchor>
  <xdr:twoCellAnchor>
    <xdr:from>
      <xdr:col>16</xdr:col>
      <xdr:colOff>52918</xdr:colOff>
      <xdr:row>3</xdr:row>
      <xdr:rowOff>84666</xdr:rowOff>
    </xdr:from>
    <xdr:to>
      <xdr:col>20</xdr:col>
      <xdr:colOff>402168</xdr:colOff>
      <xdr:row>8</xdr:row>
      <xdr:rowOff>84667</xdr:rowOff>
    </xdr:to>
    <xdr:sp macro="" textlink="'Pivot tables'!K16">
      <xdr:nvSpPr>
        <xdr:cNvPr id="35" name="Rectangle: Rounded Corners 34">
          <a:extLst>
            <a:ext uri="{FF2B5EF4-FFF2-40B4-BE49-F238E27FC236}">
              <a16:creationId xmlns:a16="http://schemas.microsoft.com/office/drawing/2014/main" id="{F38C9853-2DD4-AE13-B6CE-CD3F6AB890E2}"/>
            </a:ext>
          </a:extLst>
        </xdr:cNvPr>
        <xdr:cNvSpPr/>
      </xdr:nvSpPr>
      <xdr:spPr>
        <a:xfrm>
          <a:off x="9874251" y="624416"/>
          <a:ext cx="2804584" cy="89958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F09D996-E0B0-4FF9-8AB7-42C9708833FA}"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 2,625.00</a:t>
          </a:fld>
          <a:endParaRPr lang="en-IN" sz="2400">
            <a:latin typeface="Times New Roman" panose="02020603050405020304" pitchFamily="18" charset="0"/>
            <a:cs typeface="Times New Roman" panose="02020603050405020304" pitchFamily="18" charset="0"/>
          </a:endParaRPr>
        </a:p>
      </xdr:txBody>
    </xdr:sp>
    <xdr:clientData/>
  </xdr:twoCellAnchor>
  <xdr:oneCellAnchor>
    <xdr:from>
      <xdr:col>16</xdr:col>
      <xdr:colOff>539750</xdr:colOff>
      <xdr:row>3</xdr:row>
      <xdr:rowOff>137584</xdr:rowOff>
    </xdr:from>
    <xdr:ext cx="2171428" cy="357790"/>
    <xdr:sp macro="" textlink="">
      <xdr:nvSpPr>
        <xdr:cNvPr id="36" name="TextBox 35">
          <a:extLst>
            <a:ext uri="{FF2B5EF4-FFF2-40B4-BE49-F238E27FC236}">
              <a16:creationId xmlns:a16="http://schemas.microsoft.com/office/drawing/2014/main" id="{0A1293D4-975B-B29E-710E-37B890A7B40E}"/>
            </a:ext>
          </a:extLst>
        </xdr:cNvPr>
        <xdr:cNvSpPr txBox="1"/>
      </xdr:nvSpPr>
      <xdr:spPr>
        <a:xfrm>
          <a:off x="10361083" y="677334"/>
          <a:ext cx="2171428"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latin typeface="Times New Roman" panose="02020603050405020304" pitchFamily="18" charset="0"/>
              <a:cs typeface="Times New Roman" panose="02020603050405020304" pitchFamily="18" charset="0"/>
            </a:rPr>
            <a:t>Average Order</a:t>
          </a:r>
          <a:r>
            <a:rPr lang="en-IN" sz="1800" baseline="0">
              <a:latin typeface="Times New Roman" panose="02020603050405020304" pitchFamily="18" charset="0"/>
              <a:cs typeface="Times New Roman" panose="02020603050405020304" pitchFamily="18" charset="0"/>
            </a:rPr>
            <a:t> Value</a:t>
          </a:r>
          <a:endParaRPr lang="en-IN" sz="1800">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59531</xdr:colOff>
      <xdr:row>0</xdr:row>
      <xdr:rowOff>95249</xdr:rowOff>
    </xdr:from>
    <xdr:to>
      <xdr:col>2</xdr:col>
      <xdr:colOff>148264</xdr:colOff>
      <xdr:row>3</xdr:row>
      <xdr:rowOff>24764</xdr:rowOff>
    </xdr:to>
    <xdr:pic>
      <xdr:nvPicPr>
        <xdr:cNvPr id="40" name="Picture 39">
          <a:extLst>
            <a:ext uri="{FF2B5EF4-FFF2-40B4-BE49-F238E27FC236}">
              <a16:creationId xmlns:a16="http://schemas.microsoft.com/office/drawing/2014/main" id="{1187ECFB-63F7-0CA7-5B16-55A20705506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9531" y="95249"/>
          <a:ext cx="1303171" cy="46529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3.819977662039" createdVersion="8" refreshedVersion="8" minRefreshableVersion="3" recordCount="250" xr:uid="{777379C2-BEE3-4D00-8108-1BE55F9F3590}">
  <cacheSource type="worksheet">
    <worksheetSource ref="A1:M251" sheet="amazon_sales_data 2025"/>
  </cacheSource>
  <cacheFields count="13">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1">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acheField>
    <cacheField name="Month" numFmtId="0">
      <sharedItems count="3">
        <s v="Mar"/>
        <s v="Feb"/>
        <s v="Apr"/>
      </sharedItems>
    </cacheField>
    <cacheField name="Order Status" numFmtId="0">
      <sharedItems count="3">
        <s v="Cancelled"/>
        <s v="Pending"/>
        <s v="Delivered"/>
      </sharedItems>
    </cacheField>
  </cacheFields>
  <extLst>
    <ext xmlns:x14="http://schemas.microsoft.com/office/spreadsheetml/2009/9/main" uri="{725AE2AE-9491-48be-B2B4-4EB974FC3084}">
      <x14:pivotCacheDefinition pivotCacheId="241320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x v="0"/>
    <x v="0"/>
    <n v="60"/>
    <n v="3"/>
    <n v="180"/>
    <x v="0"/>
    <x v="0"/>
    <x v="0"/>
    <s v="Cancelled"/>
    <x v="0"/>
    <x v="0"/>
  </r>
  <r>
    <x v="1"/>
    <d v="2025-03-20T00:00:00"/>
    <x v="1"/>
    <x v="1"/>
    <n v="100"/>
    <n v="4"/>
    <n v="400"/>
    <x v="1"/>
    <x v="1"/>
    <x v="0"/>
    <s v="Pending"/>
    <x v="0"/>
    <x v="1"/>
  </r>
  <r>
    <x v="2"/>
    <d v="2025-02-15T00:00:00"/>
    <x v="0"/>
    <x v="0"/>
    <n v="60"/>
    <n v="2"/>
    <n v="120"/>
    <x v="2"/>
    <x v="2"/>
    <x v="1"/>
    <s v="Cancelled"/>
    <x v="1"/>
    <x v="0"/>
  </r>
  <r>
    <x v="3"/>
    <d v="2025-02-19T00:00:00"/>
    <x v="0"/>
    <x v="0"/>
    <n v="60"/>
    <n v="3"/>
    <n v="180"/>
    <x v="3"/>
    <x v="3"/>
    <x v="2"/>
    <s v="Pending"/>
    <x v="1"/>
    <x v="1"/>
  </r>
  <r>
    <x v="4"/>
    <d v="2025-03-10T00:00:00"/>
    <x v="2"/>
    <x v="1"/>
    <n v="150"/>
    <n v="3"/>
    <n v="450"/>
    <x v="0"/>
    <x v="0"/>
    <x v="0"/>
    <s v="Pending"/>
    <x v="0"/>
    <x v="1"/>
  </r>
  <r>
    <x v="5"/>
    <d v="2025-03-14T00:00:00"/>
    <x v="3"/>
    <x v="2"/>
    <n v="20"/>
    <n v="1"/>
    <n v="20"/>
    <x v="2"/>
    <x v="3"/>
    <x v="2"/>
    <s v="Pending"/>
    <x v="0"/>
    <x v="1"/>
  </r>
  <r>
    <x v="6"/>
    <d v="2025-03-18T00:00:00"/>
    <x v="2"/>
    <x v="1"/>
    <n v="150"/>
    <n v="4"/>
    <n v="600"/>
    <x v="0"/>
    <x v="4"/>
    <x v="3"/>
    <s v="Completed"/>
    <x v="0"/>
    <x v="2"/>
  </r>
  <r>
    <x v="7"/>
    <d v="2025-03-02T00:00:00"/>
    <x v="4"/>
    <x v="1"/>
    <n v="500"/>
    <n v="1"/>
    <n v="500"/>
    <x v="4"/>
    <x v="5"/>
    <x v="3"/>
    <s v="Completed"/>
    <x v="0"/>
    <x v="2"/>
  </r>
  <r>
    <x v="8"/>
    <d v="2025-03-08T00:00:00"/>
    <x v="3"/>
    <x v="2"/>
    <n v="20"/>
    <n v="3"/>
    <n v="60"/>
    <x v="4"/>
    <x v="6"/>
    <x v="3"/>
    <s v="Completed"/>
    <x v="0"/>
    <x v="2"/>
  </r>
  <r>
    <x v="9"/>
    <d v="2025-03-12T00:00:00"/>
    <x v="4"/>
    <x v="1"/>
    <n v="500"/>
    <n v="1"/>
    <n v="500"/>
    <x v="1"/>
    <x v="1"/>
    <x v="2"/>
    <s v="Cancelled"/>
    <x v="0"/>
    <x v="0"/>
  </r>
  <r>
    <x v="10"/>
    <d v="2025-02-17T00:00:00"/>
    <x v="5"/>
    <x v="3"/>
    <n v="15"/>
    <n v="2"/>
    <n v="30"/>
    <x v="5"/>
    <x v="6"/>
    <x v="1"/>
    <s v="Pending"/>
    <x v="1"/>
    <x v="1"/>
  </r>
  <r>
    <x v="11"/>
    <d v="2025-03-13T00:00:00"/>
    <x v="6"/>
    <x v="2"/>
    <n v="40"/>
    <n v="4"/>
    <n v="160"/>
    <x v="6"/>
    <x v="3"/>
    <x v="2"/>
    <s v="Completed"/>
    <x v="0"/>
    <x v="2"/>
  </r>
  <r>
    <x v="12"/>
    <d v="2025-03-01T00:00:00"/>
    <x v="7"/>
    <x v="1"/>
    <n v="800"/>
    <n v="2"/>
    <n v="1600"/>
    <x v="7"/>
    <x v="1"/>
    <x v="4"/>
    <s v="Pending"/>
    <x v="0"/>
    <x v="1"/>
  </r>
  <r>
    <x v="13"/>
    <d v="2025-03-04T00:00:00"/>
    <x v="8"/>
    <x v="4"/>
    <n v="600"/>
    <n v="3"/>
    <n v="1800"/>
    <x v="6"/>
    <x v="5"/>
    <x v="2"/>
    <s v="Cancelled"/>
    <x v="0"/>
    <x v="0"/>
  </r>
  <r>
    <x v="14"/>
    <d v="2025-02-20T00:00:00"/>
    <x v="2"/>
    <x v="1"/>
    <n v="150"/>
    <n v="4"/>
    <n v="600"/>
    <x v="2"/>
    <x v="7"/>
    <x v="2"/>
    <s v="Completed"/>
    <x v="1"/>
    <x v="2"/>
  </r>
  <r>
    <x v="15"/>
    <d v="2025-02-26T00:00:00"/>
    <x v="9"/>
    <x v="4"/>
    <n v="1200"/>
    <n v="1"/>
    <n v="1200"/>
    <x v="2"/>
    <x v="6"/>
    <x v="2"/>
    <s v="Cancelled"/>
    <x v="1"/>
    <x v="0"/>
  </r>
  <r>
    <x v="16"/>
    <d v="2025-04-01T00:00:00"/>
    <x v="3"/>
    <x v="2"/>
    <n v="20"/>
    <n v="1"/>
    <n v="20"/>
    <x v="0"/>
    <x v="0"/>
    <x v="1"/>
    <s v="Completed"/>
    <x v="2"/>
    <x v="2"/>
  </r>
  <r>
    <x v="17"/>
    <d v="2025-02-10T00:00:00"/>
    <x v="4"/>
    <x v="1"/>
    <n v="500"/>
    <n v="2"/>
    <n v="1000"/>
    <x v="6"/>
    <x v="8"/>
    <x v="1"/>
    <s v="Completed"/>
    <x v="1"/>
    <x v="2"/>
  </r>
  <r>
    <x v="18"/>
    <d v="2025-03-22T00:00:00"/>
    <x v="0"/>
    <x v="0"/>
    <n v="60"/>
    <n v="3"/>
    <n v="180"/>
    <x v="3"/>
    <x v="4"/>
    <x v="2"/>
    <s v="Completed"/>
    <x v="0"/>
    <x v="2"/>
  </r>
  <r>
    <x v="19"/>
    <d v="2025-03-07T00:00:00"/>
    <x v="1"/>
    <x v="1"/>
    <n v="100"/>
    <n v="4"/>
    <n v="400"/>
    <x v="3"/>
    <x v="7"/>
    <x v="0"/>
    <s v="Pending"/>
    <x v="0"/>
    <x v="1"/>
  </r>
  <r>
    <x v="20"/>
    <d v="2025-02-05T00:00:00"/>
    <x v="1"/>
    <x v="1"/>
    <n v="100"/>
    <n v="3"/>
    <n v="300"/>
    <x v="8"/>
    <x v="5"/>
    <x v="0"/>
    <s v="Cancelled"/>
    <x v="1"/>
    <x v="0"/>
  </r>
  <r>
    <x v="21"/>
    <d v="2025-03-07T00:00:00"/>
    <x v="9"/>
    <x v="4"/>
    <n v="1200"/>
    <n v="4"/>
    <n v="4800"/>
    <x v="3"/>
    <x v="4"/>
    <x v="2"/>
    <s v="Pending"/>
    <x v="0"/>
    <x v="1"/>
  </r>
  <r>
    <x v="22"/>
    <d v="2025-02-23T00:00:00"/>
    <x v="5"/>
    <x v="3"/>
    <n v="15"/>
    <n v="1"/>
    <n v="15"/>
    <x v="0"/>
    <x v="4"/>
    <x v="2"/>
    <s v="Pending"/>
    <x v="1"/>
    <x v="1"/>
  </r>
  <r>
    <x v="23"/>
    <d v="2025-03-24T00:00:00"/>
    <x v="9"/>
    <x v="4"/>
    <n v="1200"/>
    <n v="3"/>
    <n v="3600"/>
    <x v="8"/>
    <x v="3"/>
    <x v="2"/>
    <s v="Cancelled"/>
    <x v="0"/>
    <x v="0"/>
  </r>
  <r>
    <x v="24"/>
    <d v="2025-03-02T00:00:00"/>
    <x v="5"/>
    <x v="3"/>
    <n v="15"/>
    <n v="5"/>
    <n v="75"/>
    <x v="4"/>
    <x v="7"/>
    <x v="1"/>
    <s v="Completed"/>
    <x v="0"/>
    <x v="2"/>
  </r>
  <r>
    <x v="25"/>
    <d v="2025-02-14T00:00:00"/>
    <x v="8"/>
    <x v="4"/>
    <n v="600"/>
    <n v="1"/>
    <n v="600"/>
    <x v="3"/>
    <x v="6"/>
    <x v="0"/>
    <s v="Cancelled"/>
    <x v="1"/>
    <x v="0"/>
  </r>
  <r>
    <x v="26"/>
    <d v="2025-02-07T00:00:00"/>
    <x v="3"/>
    <x v="2"/>
    <n v="20"/>
    <n v="1"/>
    <n v="20"/>
    <x v="7"/>
    <x v="0"/>
    <x v="1"/>
    <s v="Pending"/>
    <x v="1"/>
    <x v="1"/>
  </r>
  <r>
    <x v="27"/>
    <d v="2025-02-03T00:00:00"/>
    <x v="1"/>
    <x v="1"/>
    <n v="100"/>
    <n v="1"/>
    <n v="100"/>
    <x v="9"/>
    <x v="9"/>
    <x v="1"/>
    <s v="Completed"/>
    <x v="1"/>
    <x v="2"/>
  </r>
  <r>
    <x v="28"/>
    <d v="2025-02-12T00:00:00"/>
    <x v="4"/>
    <x v="1"/>
    <n v="500"/>
    <n v="1"/>
    <n v="500"/>
    <x v="4"/>
    <x v="2"/>
    <x v="2"/>
    <s v="Cancelled"/>
    <x v="1"/>
    <x v="0"/>
  </r>
  <r>
    <x v="29"/>
    <d v="2025-02-10T00:00:00"/>
    <x v="8"/>
    <x v="4"/>
    <n v="600"/>
    <n v="3"/>
    <n v="1800"/>
    <x v="1"/>
    <x v="3"/>
    <x v="4"/>
    <s v="Cancelled"/>
    <x v="1"/>
    <x v="0"/>
  </r>
  <r>
    <x v="30"/>
    <d v="2025-03-24T00:00:00"/>
    <x v="4"/>
    <x v="1"/>
    <n v="500"/>
    <n v="1"/>
    <n v="500"/>
    <x v="2"/>
    <x v="4"/>
    <x v="4"/>
    <s v="Pending"/>
    <x v="0"/>
    <x v="1"/>
  </r>
  <r>
    <x v="31"/>
    <d v="2025-03-10T00:00:00"/>
    <x v="4"/>
    <x v="1"/>
    <n v="500"/>
    <n v="4"/>
    <n v="2000"/>
    <x v="6"/>
    <x v="7"/>
    <x v="3"/>
    <s v="Pending"/>
    <x v="0"/>
    <x v="1"/>
  </r>
  <r>
    <x v="32"/>
    <d v="2025-02-04T00:00:00"/>
    <x v="5"/>
    <x v="3"/>
    <n v="15"/>
    <n v="1"/>
    <n v="15"/>
    <x v="3"/>
    <x v="0"/>
    <x v="0"/>
    <s v="Cancelled"/>
    <x v="1"/>
    <x v="0"/>
  </r>
  <r>
    <x v="33"/>
    <d v="2025-04-02T00:00:00"/>
    <x v="3"/>
    <x v="2"/>
    <n v="20"/>
    <n v="5"/>
    <n v="100"/>
    <x v="9"/>
    <x v="0"/>
    <x v="2"/>
    <s v="Pending"/>
    <x v="2"/>
    <x v="1"/>
  </r>
  <r>
    <x v="34"/>
    <d v="2025-04-02T00:00:00"/>
    <x v="7"/>
    <x v="1"/>
    <n v="800"/>
    <n v="3"/>
    <n v="2400"/>
    <x v="0"/>
    <x v="2"/>
    <x v="1"/>
    <s v="Completed"/>
    <x v="2"/>
    <x v="2"/>
  </r>
  <r>
    <x v="35"/>
    <d v="2025-02-09T00:00:00"/>
    <x v="9"/>
    <x v="4"/>
    <n v="1200"/>
    <n v="2"/>
    <n v="2400"/>
    <x v="4"/>
    <x v="6"/>
    <x v="3"/>
    <s v="Cancelled"/>
    <x v="1"/>
    <x v="0"/>
  </r>
  <r>
    <x v="36"/>
    <d v="2025-02-16T00:00:00"/>
    <x v="1"/>
    <x v="1"/>
    <n v="100"/>
    <n v="3"/>
    <n v="300"/>
    <x v="6"/>
    <x v="0"/>
    <x v="0"/>
    <s v="Cancelled"/>
    <x v="1"/>
    <x v="0"/>
  </r>
  <r>
    <x v="37"/>
    <d v="2025-03-26T00:00:00"/>
    <x v="7"/>
    <x v="1"/>
    <n v="800"/>
    <n v="3"/>
    <n v="2400"/>
    <x v="3"/>
    <x v="9"/>
    <x v="1"/>
    <s v="Completed"/>
    <x v="0"/>
    <x v="2"/>
  </r>
  <r>
    <x v="38"/>
    <d v="2025-03-02T00:00:00"/>
    <x v="7"/>
    <x v="1"/>
    <n v="800"/>
    <n v="2"/>
    <n v="1600"/>
    <x v="3"/>
    <x v="1"/>
    <x v="3"/>
    <s v="Completed"/>
    <x v="0"/>
    <x v="2"/>
  </r>
  <r>
    <x v="39"/>
    <d v="2025-03-26T00:00:00"/>
    <x v="2"/>
    <x v="1"/>
    <n v="150"/>
    <n v="1"/>
    <n v="150"/>
    <x v="1"/>
    <x v="7"/>
    <x v="4"/>
    <s v="Pending"/>
    <x v="0"/>
    <x v="1"/>
  </r>
  <r>
    <x v="40"/>
    <d v="2025-02-20T00:00:00"/>
    <x v="5"/>
    <x v="3"/>
    <n v="15"/>
    <n v="1"/>
    <n v="15"/>
    <x v="9"/>
    <x v="5"/>
    <x v="2"/>
    <s v="Cancelled"/>
    <x v="1"/>
    <x v="0"/>
  </r>
  <r>
    <x v="41"/>
    <d v="2025-03-17T00:00:00"/>
    <x v="1"/>
    <x v="1"/>
    <n v="100"/>
    <n v="3"/>
    <n v="300"/>
    <x v="9"/>
    <x v="9"/>
    <x v="1"/>
    <s v="Cancelled"/>
    <x v="0"/>
    <x v="0"/>
  </r>
  <r>
    <x v="42"/>
    <d v="2025-02-08T00:00:00"/>
    <x v="3"/>
    <x v="2"/>
    <n v="20"/>
    <n v="4"/>
    <n v="80"/>
    <x v="9"/>
    <x v="2"/>
    <x v="2"/>
    <s v="Pending"/>
    <x v="1"/>
    <x v="1"/>
  </r>
  <r>
    <x v="43"/>
    <d v="2025-03-24T00:00:00"/>
    <x v="2"/>
    <x v="1"/>
    <n v="150"/>
    <n v="1"/>
    <n v="150"/>
    <x v="8"/>
    <x v="4"/>
    <x v="0"/>
    <s v="Pending"/>
    <x v="0"/>
    <x v="1"/>
  </r>
  <r>
    <x v="44"/>
    <d v="2025-03-15T00:00:00"/>
    <x v="9"/>
    <x v="4"/>
    <n v="1200"/>
    <n v="3"/>
    <n v="3600"/>
    <x v="7"/>
    <x v="0"/>
    <x v="2"/>
    <s v="Pending"/>
    <x v="0"/>
    <x v="1"/>
  </r>
  <r>
    <x v="45"/>
    <d v="2025-03-06T00:00:00"/>
    <x v="0"/>
    <x v="0"/>
    <n v="60"/>
    <n v="2"/>
    <n v="120"/>
    <x v="5"/>
    <x v="4"/>
    <x v="0"/>
    <s v="Cancelled"/>
    <x v="0"/>
    <x v="0"/>
  </r>
  <r>
    <x v="46"/>
    <d v="2025-03-26T00:00:00"/>
    <x v="3"/>
    <x v="2"/>
    <n v="20"/>
    <n v="2"/>
    <n v="40"/>
    <x v="8"/>
    <x v="5"/>
    <x v="4"/>
    <s v="Cancelled"/>
    <x v="0"/>
    <x v="0"/>
  </r>
  <r>
    <x v="47"/>
    <d v="2025-02-11T00:00:00"/>
    <x v="3"/>
    <x v="2"/>
    <n v="20"/>
    <n v="5"/>
    <n v="100"/>
    <x v="9"/>
    <x v="2"/>
    <x v="1"/>
    <s v="Completed"/>
    <x v="1"/>
    <x v="2"/>
  </r>
  <r>
    <x v="48"/>
    <d v="2025-02-18T00:00:00"/>
    <x v="4"/>
    <x v="1"/>
    <n v="500"/>
    <n v="4"/>
    <n v="2000"/>
    <x v="0"/>
    <x v="9"/>
    <x v="0"/>
    <s v="Completed"/>
    <x v="1"/>
    <x v="2"/>
  </r>
  <r>
    <x v="49"/>
    <d v="2025-03-14T00:00:00"/>
    <x v="6"/>
    <x v="2"/>
    <n v="40"/>
    <n v="3"/>
    <n v="120"/>
    <x v="2"/>
    <x v="6"/>
    <x v="4"/>
    <s v="Completed"/>
    <x v="0"/>
    <x v="2"/>
  </r>
  <r>
    <x v="50"/>
    <d v="2025-02-19T00:00:00"/>
    <x v="5"/>
    <x v="3"/>
    <n v="15"/>
    <n v="1"/>
    <n v="15"/>
    <x v="0"/>
    <x v="4"/>
    <x v="4"/>
    <s v="Cancelled"/>
    <x v="1"/>
    <x v="0"/>
  </r>
  <r>
    <x v="51"/>
    <d v="2025-02-24T00:00:00"/>
    <x v="7"/>
    <x v="1"/>
    <n v="800"/>
    <n v="3"/>
    <n v="2400"/>
    <x v="2"/>
    <x v="1"/>
    <x v="2"/>
    <s v="Pending"/>
    <x v="1"/>
    <x v="1"/>
  </r>
  <r>
    <x v="52"/>
    <d v="2025-03-24T00:00:00"/>
    <x v="0"/>
    <x v="0"/>
    <n v="60"/>
    <n v="4"/>
    <n v="240"/>
    <x v="1"/>
    <x v="8"/>
    <x v="3"/>
    <s v="Completed"/>
    <x v="0"/>
    <x v="2"/>
  </r>
  <r>
    <x v="53"/>
    <d v="2025-03-15T00:00:00"/>
    <x v="2"/>
    <x v="1"/>
    <n v="150"/>
    <n v="3"/>
    <n v="450"/>
    <x v="5"/>
    <x v="6"/>
    <x v="4"/>
    <s v="Pending"/>
    <x v="0"/>
    <x v="1"/>
  </r>
  <r>
    <x v="54"/>
    <d v="2025-03-15T00:00:00"/>
    <x v="6"/>
    <x v="2"/>
    <n v="40"/>
    <n v="2"/>
    <n v="80"/>
    <x v="4"/>
    <x v="3"/>
    <x v="3"/>
    <s v="Completed"/>
    <x v="0"/>
    <x v="2"/>
  </r>
  <r>
    <x v="55"/>
    <d v="2025-03-19T00:00:00"/>
    <x v="2"/>
    <x v="1"/>
    <n v="150"/>
    <n v="2"/>
    <n v="300"/>
    <x v="0"/>
    <x v="3"/>
    <x v="2"/>
    <s v="Completed"/>
    <x v="0"/>
    <x v="2"/>
  </r>
  <r>
    <x v="56"/>
    <d v="2025-03-15T00:00:00"/>
    <x v="4"/>
    <x v="1"/>
    <n v="500"/>
    <n v="1"/>
    <n v="500"/>
    <x v="9"/>
    <x v="8"/>
    <x v="0"/>
    <s v="Cancelled"/>
    <x v="0"/>
    <x v="0"/>
  </r>
  <r>
    <x v="57"/>
    <d v="2025-03-13T00:00:00"/>
    <x v="4"/>
    <x v="1"/>
    <n v="500"/>
    <n v="1"/>
    <n v="500"/>
    <x v="9"/>
    <x v="9"/>
    <x v="3"/>
    <s v="Cancelled"/>
    <x v="0"/>
    <x v="0"/>
  </r>
  <r>
    <x v="58"/>
    <d v="2025-04-01T00:00:00"/>
    <x v="2"/>
    <x v="1"/>
    <n v="150"/>
    <n v="2"/>
    <n v="300"/>
    <x v="7"/>
    <x v="3"/>
    <x v="2"/>
    <s v="Cancelled"/>
    <x v="2"/>
    <x v="0"/>
  </r>
  <r>
    <x v="59"/>
    <d v="2025-03-12T00:00:00"/>
    <x v="5"/>
    <x v="3"/>
    <n v="15"/>
    <n v="5"/>
    <n v="75"/>
    <x v="9"/>
    <x v="3"/>
    <x v="2"/>
    <s v="Pending"/>
    <x v="0"/>
    <x v="1"/>
  </r>
  <r>
    <x v="60"/>
    <d v="2025-03-11T00:00:00"/>
    <x v="9"/>
    <x v="4"/>
    <n v="1200"/>
    <n v="1"/>
    <n v="1200"/>
    <x v="9"/>
    <x v="0"/>
    <x v="3"/>
    <s v="Cancelled"/>
    <x v="0"/>
    <x v="0"/>
  </r>
  <r>
    <x v="61"/>
    <d v="2025-02-10T00:00:00"/>
    <x v="7"/>
    <x v="1"/>
    <n v="800"/>
    <n v="5"/>
    <n v="4000"/>
    <x v="3"/>
    <x v="1"/>
    <x v="3"/>
    <s v="Completed"/>
    <x v="1"/>
    <x v="2"/>
  </r>
  <r>
    <x v="62"/>
    <d v="2025-03-30T00:00:00"/>
    <x v="4"/>
    <x v="1"/>
    <n v="500"/>
    <n v="5"/>
    <n v="2500"/>
    <x v="0"/>
    <x v="5"/>
    <x v="4"/>
    <s v="Completed"/>
    <x v="0"/>
    <x v="2"/>
  </r>
  <r>
    <x v="63"/>
    <d v="2025-02-13T00:00:00"/>
    <x v="9"/>
    <x v="4"/>
    <n v="1200"/>
    <n v="4"/>
    <n v="4800"/>
    <x v="1"/>
    <x v="2"/>
    <x v="3"/>
    <s v="Pending"/>
    <x v="1"/>
    <x v="1"/>
  </r>
  <r>
    <x v="64"/>
    <d v="2025-03-16T00:00:00"/>
    <x v="5"/>
    <x v="3"/>
    <n v="15"/>
    <n v="3"/>
    <n v="45"/>
    <x v="0"/>
    <x v="1"/>
    <x v="1"/>
    <s v="Pending"/>
    <x v="0"/>
    <x v="1"/>
  </r>
  <r>
    <x v="65"/>
    <d v="2025-03-14T00:00:00"/>
    <x v="2"/>
    <x v="1"/>
    <n v="150"/>
    <n v="2"/>
    <n v="300"/>
    <x v="6"/>
    <x v="2"/>
    <x v="3"/>
    <s v="Pending"/>
    <x v="0"/>
    <x v="1"/>
  </r>
  <r>
    <x v="66"/>
    <d v="2025-03-31T00:00:00"/>
    <x v="1"/>
    <x v="1"/>
    <n v="100"/>
    <n v="3"/>
    <n v="300"/>
    <x v="8"/>
    <x v="0"/>
    <x v="0"/>
    <s v="Pending"/>
    <x v="0"/>
    <x v="1"/>
  </r>
  <r>
    <x v="67"/>
    <d v="2025-02-23T00:00:00"/>
    <x v="1"/>
    <x v="1"/>
    <n v="100"/>
    <n v="1"/>
    <n v="100"/>
    <x v="5"/>
    <x v="4"/>
    <x v="0"/>
    <s v="Cancelled"/>
    <x v="1"/>
    <x v="0"/>
  </r>
  <r>
    <x v="68"/>
    <d v="2025-02-25T00:00:00"/>
    <x v="9"/>
    <x v="4"/>
    <n v="1200"/>
    <n v="4"/>
    <n v="4800"/>
    <x v="5"/>
    <x v="6"/>
    <x v="4"/>
    <s v="Pending"/>
    <x v="1"/>
    <x v="1"/>
  </r>
  <r>
    <x v="69"/>
    <d v="2025-03-10T00:00:00"/>
    <x v="5"/>
    <x v="3"/>
    <n v="15"/>
    <n v="1"/>
    <n v="15"/>
    <x v="1"/>
    <x v="6"/>
    <x v="2"/>
    <s v="Completed"/>
    <x v="0"/>
    <x v="2"/>
  </r>
  <r>
    <x v="70"/>
    <d v="2025-03-16T00:00:00"/>
    <x v="2"/>
    <x v="1"/>
    <n v="150"/>
    <n v="5"/>
    <n v="750"/>
    <x v="2"/>
    <x v="2"/>
    <x v="2"/>
    <s v="Pending"/>
    <x v="0"/>
    <x v="1"/>
  </r>
  <r>
    <x v="71"/>
    <d v="2025-03-07T00:00:00"/>
    <x v="7"/>
    <x v="1"/>
    <n v="800"/>
    <n v="3"/>
    <n v="2400"/>
    <x v="7"/>
    <x v="4"/>
    <x v="2"/>
    <s v="Pending"/>
    <x v="0"/>
    <x v="1"/>
  </r>
  <r>
    <x v="72"/>
    <d v="2025-02-20T00:00:00"/>
    <x v="4"/>
    <x v="1"/>
    <n v="500"/>
    <n v="5"/>
    <n v="2500"/>
    <x v="1"/>
    <x v="5"/>
    <x v="2"/>
    <s v="Cancelled"/>
    <x v="1"/>
    <x v="0"/>
  </r>
  <r>
    <x v="73"/>
    <d v="2025-03-25T00:00:00"/>
    <x v="9"/>
    <x v="4"/>
    <n v="1200"/>
    <n v="4"/>
    <n v="4800"/>
    <x v="9"/>
    <x v="3"/>
    <x v="4"/>
    <s v="Cancelled"/>
    <x v="0"/>
    <x v="0"/>
  </r>
  <r>
    <x v="74"/>
    <d v="2025-02-26T00:00:00"/>
    <x v="1"/>
    <x v="1"/>
    <n v="100"/>
    <n v="2"/>
    <n v="200"/>
    <x v="7"/>
    <x v="6"/>
    <x v="3"/>
    <s v="Pending"/>
    <x v="1"/>
    <x v="1"/>
  </r>
  <r>
    <x v="75"/>
    <d v="2025-02-24T00:00:00"/>
    <x v="8"/>
    <x v="4"/>
    <n v="600"/>
    <n v="1"/>
    <n v="600"/>
    <x v="9"/>
    <x v="3"/>
    <x v="1"/>
    <s v="Completed"/>
    <x v="1"/>
    <x v="2"/>
  </r>
  <r>
    <x v="76"/>
    <d v="2025-03-20T00:00:00"/>
    <x v="1"/>
    <x v="1"/>
    <n v="100"/>
    <n v="2"/>
    <n v="200"/>
    <x v="7"/>
    <x v="4"/>
    <x v="2"/>
    <s v="Completed"/>
    <x v="0"/>
    <x v="2"/>
  </r>
  <r>
    <x v="77"/>
    <d v="2025-03-18T00:00:00"/>
    <x v="2"/>
    <x v="1"/>
    <n v="150"/>
    <n v="2"/>
    <n v="300"/>
    <x v="0"/>
    <x v="8"/>
    <x v="4"/>
    <s v="Cancelled"/>
    <x v="0"/>
    <x v="0"/>
  </r>
  <r>
    <x v="78"/>
    <d v="2025-03-09T00:00:00"/>
    <x v="0"/>
    <x v="0"/>
    <n v="60"/>
    <n v="2"/>
    <n v="120"/>
    <x v="1"/>
    <x v="2"/>
    <x v="4"/>
    <s v="Cancelled"/>
    <x v="0"/>
    <x v="0"/>
  </r>
  <r>
    <x v="79"/>
    <d v="2025-02-23T00:00:00"/>
    <x v="0"/>
    <x v="0"/>
    <n v="60"/>
    <n v="4"/>
    <n v="240"/>
    <x v="4"/>
    <x v="1"/>
    <x v="0"/>
    <s v="Pending"/>
    <x v="1"/>
    <x v="1"/>
  </r>
  <r>
    <x v="80"/>
    <d v="2025-02-26T00:00:00"/>
    <x v="1"/>
    <x v="1"/>
    <n v="100"/>
    <n v="3"/>
    <n v="300"/>
    <x v="6"/>
    <x v="9"/>
    <x v="3"/>
    <s v="Cancelled"/>
    <x v="1"/>
    <x v="0"/>
  </r>
  <r>
    <x v="81"/>
    <d v="2025-02-24T00:00:00"/>
    <x v="4"/>
    <x v="1"/>
    <n v="500"/>
    <n v="3"/>
    <n v="1500"/>
    <x v="9"/>
    <x v="7"/>
    <x v="0"/>
    <s v="Cancelled"/>
    <x v="1"/>
    <x v="0"/>
  </r>
  <r>
    <x v="82"/>
    <d v="2025-02-28T00:00:00"/>
    <x v="8"/>
    <x v="4"/>
    <n v="600"/>
    <n v="4"/>
    <n v="2400"/>
    <x v="0"/>
    <x v="4"/>
    <x v="4"/>
    <s v="Cancelled"/>
    <x v="1"/>
    <x v="0"/>
  </r>
  <r>
    <x v="83"/>
    <d v="2025-02-14T00:00:00"/>
    <x v="3"/>
    <x v="2"/>
    <n v="20"/>
    <n v="5"/>
    <n v="100"/>
    <x v="3"/>
    <x v="6"/>
    <x v="3"/>
    <s v="Completed"/>
    <x v="1"/>
    <x v="2"/>
  </r>
  <r>
    <x v="84"/>
    <d v="2025-02-06T00:00:00"/>
    <x v="4"/>
    <x v="1"/>
    <n v="500"/>
    <n v="5"/>
    <n v="2500"/>
    <x v="6"/>
    <x v="4"/>
    <x v="3"/>
    <s v="Completed"/>
    <x v="1"/>
    <x v="2"/>
  </r>
  <r>
    <x v="85"/>
    <d v="2025-02-25T00:00:00"/>
    <x v="2"/>
    <x v="1"/>
    <n v="150"/>
    <n v="5"/>
    <n v="750"/>
    <x v="9"/>
    <x v="3"/>
    <x v="3"/>
    <s v="Cancelled"/>
    <x v="1"/>
    <x v="0"/>
  </r>
  <r>
    <x v="86"/>
    <d v="2025-03-13T00:00:00"/>
    <x v="0"/>
    <x v="0"/>
    <n v="60"/>
    <n v="5"/>
    <n v="300"/>
    <x v="0"/>
    <x v="5"/>
    <x v="0"/>
    <s v="Completed"/>
    <x v="0"/>
    <x v="2"/>
  </r>
  <r>
    <x v="87"/>
    <d v="2025-02-06T00:00:00"/>
    <x v="9"/>
    <x v="4"/>
    <n v="1200"/>
    <n v="2"/>
    <n v="2400"/>
    <x v="8"/>
    <x v="7"/>
    <x v="0"/>
    <s v="Pending"/>
    <x v="1"/>
    <x v="1"/>
  </r>
  <r>
    <x v="88"/>
    <d v="2025-03-26T00:00:00"/>
    <x v="0"/>
    <x v="0"/>
    <n v="60"/>
    <n v="5"/>
    <n v="300"/>
    <x v="0"/>
    <x v="8"/>
    <x v="2"/>
    <s v="Cancelled"/>
    <x v="0"/>
    <x v="0"/>
  </r>
  <r>
    <x v="89"/>
    <d v="2025-03-24T00:00:00"/>
    <x v="2"/>
    <x v="1"/>
    <n v="150"/>
    <n v="5"/>
    <n v="750"/>
    <x v="1"/>
    <x v="4"/>
    <x v="1"/>
    <s v="Completed"/>
    <x v="0"/>
    <x v="2"/>
  </r>
  <r>
    <x v="90"/>
    <d v="2025-02-03T00:00:00"/>
    <x v="7"/>
    <x v="1"/>
    <n v="800"/>
    <n v="4"/>
    <n v="3200"/>
    <x v="7"/>
    <x v="4"/>
    <x v="4"/>
    <s v="Pending"/>
    <x v="1"/>
    <x v="1"/>
  </r>
  <r>
    <x v="91"/>
    <d v="2025-03-15T00:00:00"/>
    <x v="4"/>
    <x v="1"/>
    <n v="500"/>
    <n v="2"/>
    <n v="1000"/>
    <x v="3"/>
    <x v="6"/>
    <x v="3"/>
    <s v="Cancelled"/>
    <x v="0"/>
    <x v="0"/>
  </r>
  <r>
    <x v="92"/>
    <d v="2025-03-06T00:00:00"/>
    <x v="9"/>
    <x v="4"/>
    <n v="1200"/>
    <n v="5"/>
    <n v="6000"/>
    <x v="5"/>
    <x v="2"/>
    <x v="3"/>
    <s v="Cancelled"/>
    <x v="0"/>
    <x v="0"/>
  </r>
  <r>
    <x v="93"/>
    <d v="2025-03-25T00:00:00"/>
    <x v="6"/>
    <x v="2"/>
    <n v="40"/>
    <n v="5"/>
    <n v="200"/>
    <x v="7"/>
    <x v="7"/>
    <x v="2"/>
    <s v="Cancelled"/>
    <x v="0"/>
    <x v="0"/>
  </r>
  <r>
    <x v="94"/>
    <d v="2025-02-17T00:00:00"/>
    <x v="2"/>
    <x v="1"/>
    <n v="150"/>
    <n v="4"/>
    <n v="600"/>
    <x v="8"/>
    <x v="0"/>
    <x v="0"/>
    <s v="Cancelled"/>
    <x v="1"/>
    <x v="0"/>
  </r>
  <r>
    <x v="95"/>
    <d v="2025-03-30T00:00:00"/>
    <x v="2"/>
    <x v="1"/>
    <n v="150"/>
    <n v="3"/>
    <n v="450"/>
    <x v="9"/>
    <x v="0"/>
    <x v="1"/>
    <s v="Completed"/>
    <x v="0"/>
    <x v="2"/>
  </r>
  <r>
    <x v="96"/>
    <d v="2025-03-25T00:00:00"/>
    <x v="5"/>
    <x v="3"/>
    <n v="15"/>
    <n v="5"/>
    <n v="75"/>
    <x v="3"/>
    <x v="9"/>
    <x v="1"/>
    <s v="Pending"/>
    <x v="0"/>
    <x v="1"/>
  </r>
  <r>
    <x v="97"/>
    <d v="2025-02-14T00:00:00"/>
    <x v="2"/>
    <x v="1"/>
    <n v="150"/>
    <n v="2"/>
    <n v="300"/>
    <x v="8"/>
    <x v="5"/>
    <x v="3"/>
    <s v="Pending"/>
    <x v="1"/>
    <x v="1"/>
  </r>
  <r>
    <x v="98"/>
    <d v="2025-02-18T00:00:00"/>
    <x v="8"/>
    <x v="4"/>
    <n v="600"/>
    <n v="5"/>
    <n v="3000"/>
    <x v="6"/>
    <x v="7"/>
    <x v="0"/>
    <s v="Completed"/>
    <x v="1"/>
    <x v="2"/>
  </r>
  <r>
    <x v="99"/>
    <d v="2025-02-13T00:00:00"/>
    <x v="0"/>
    <x v="0"/>
    <n v="60"/>
    <n v="1"/>
    <n v="60"/>
    <x v="9"/>
    <x v="4"/>
    <x v="4"/>
    <s v="Cancelled"/>
    <x v="1"/>
    <x v="0"/>
  </r>
  <r>
    <x v="100"/>
    <d v="2025-02-20T00:00:00"/>
    <x v="5"/>
    <x v="3"/>
    <n v="15"/>
    <n v="5"/>
    <n v="75"/>
    <x v="2"/>
    <x v="2"/>
    <x v="3"/>
    <s v="Pending"/>
    <x v="1"/>
    <x v="1"/>
  </r>
  <r>
    <x v="101"/>
    <d v="2025-02-28T00:00:00"/>
    <x v="4"/>
    <x v="1"/>
    <n v="500"/>
    <n v="2"/>
    <n v="1000"/>
    <x v="5"/>
    <x v="6"/>
    <x v="3"/>
    <s v="Pending"/>
    <x v="1"/>
    <x v="1"/>
  </r>
  <r>
    <x v="102"/>
    <d v="2025-03-14T00:00:00"/>
    <x v="3"/>
    <x v="2"/>
    <n v="20"/>
    <n v="2"/>
    <n v="40"/>
    <x v="6"/>
    <x v="9"/>
    <x v="3"/>
    <s v="Pending"/>
    <x v="0"/>
    <x v="1"/>
  </r>
  <r>
    <x v="103"/>
    <d v="2025-02-22T00:00:00"/>
    <x v="6"/>
    <x v="2"/>
    <n v="40"/>
    <n v="5"/>
    <n v="200"/>
    <x v="9"/>
    <x v="3"/>
    <x v="0"/>
    <s v="Pending"/>
    <x v="1"/>
    <x v="1"/>
  </r>
  <r>
    <x v="104"/>
    <d v="2025-03-16T00:00:00"/>
    <x v="6"/>
    <x v="2"/>
    <n v="40"/>
    <n v="1"/>
    <n v="40"/>
    <x v="9"/>
    <x v="6"/>
    <x v="0"/>
    <s v="Pending"/>
    <x v="0"/>
    <x v="1"/>
  </r>
  <r>
    <x v="105"/>
    <d v="2025-03-15T00:00:00"/>
    <x v="3"/>
    <x v="2"/>
    <n v="20"/>
    <n v="3"/>
    <n v="60"/>
    <x v="3"/>
    <x v="9"/>
    <x v="3"/>
    <s v="Pending"/>
    <x v="0"/>
    <x v="1"/>
  </r>
  <r>
    <x v="106"/>
    <d v="2025-03-19T00:00:00"/>
    <x v="6"/>
    <x v="2"/>
    <n v="40"/>
    <n v="3"/>
    <n v="120"/>
    <x v="3"/>
    <x v="3"/>
    <x v="2"/>
    <s v="Cancelled"/>
    <x v="0"/>
    <x v="0"/>
  </r>
  <r>
    <x v="107"/>
    <d v="2025-03-16T00:00:00"/>
    <x v="1"/>
    <x v="1"/>
    <n v="100"/>
    <n v="2"/>
    <n v="200"/>
    <x v="7"/>
    <x v="5"/>
    <x v="3"/>
    <s v="Pending"/>
    <x v="0"/>
    <x v="1"/>
  </r>
  <r>
    <x v="108"/>
    <d v="2025-03-17T00:00:00"/>
    <x v="6"/>
    <x v="2"/>
    <n v="40"/>
    <n v="5"/>
    <n v="200"/>
    <x v="6"/>
    <x v="0"/>
    <x v="3"/>
    <s v="Completed"/>
    <x v="0"/>
    <x v="2"/>
  </r>
  <r>
    <x v="109"/>
    <d v="2025-02-18T00:00:00"/>
    <x v="4"/>
    <x v="1"/>
    <n v="500"/>
    <n v="5"/>
    <n v="2500"/>
    <x v="3"/>
    <x v="3"/>
    <x v="1"/>
    <s v="Pending"/>
    <x v="1"/>
    <x v="1"/>
  </r>
  <r>
    <x v="110"/>
    <d v="2025-03-31T00:00:00"/>
    <x v="7"/>
    <x v="1"/>
    <n v="800"/>
    <n v="4"/>
    <n v="3200"/>
    <x v="0"/>
    <x v="8"/>
    <x v="2"/>
    <s v="Completed"/>
    <x v="0"/>
    <x v="2"/>
  </r>
  <r>
    <x v="111"/>
    <d v="2025-03-06T00:00:00"/>
    <x v="8"/>
    <x v="4"/>
    <n v="600"/>
    <n v="2"/>
    <n v="1200"/>
    <x v="5"/>
    <x v="3"/>
    <x v="4"/>
    <s v="Cancelled"/>
    <x v="0"/>
    <x v="0"/>
  </r>
  <r>
    <x v="112"/>
    <d v="2025-03-19T00:00:00"/>
    <x v="5"/>
    <x v="3"/>
    <n v="15"/>
    <n v="5"/>
    <n v="75"/>
    <x v="5"/>
    <x v="1"/>
    <x v="0"/>
    <s v="Pending"/>
    <x v="0"/>
    <x v="1"/>
  </r>
  <r>
    <x v="113"/>
    <d v="2025-02-23T00:00:00"/>
    <x v="0"/>
    <x v="0"/>
    <n v="60"/>
    <n v="1"/>
    <n v="60"/>
    <x v="0"/>
    <x v="4"/>
    <x v="2"/>
    <s v="Pending"/>
    <x v="1"/>
    <x v="1"/>
  </r>
  <r>
    <x v="114"/>
    <d v="2025-03-21T00:00:00"/>
    <x v="0"/>
    <x v="0"/>
    <n v="60"/>
    <n v="3"/>
    <n v="180"/>
    <x v="3"/>
    <x v="5"/>
    <x v="1"/>
    <s v="Completed"/>
    <x v="0"/>
    <x v="2"/>
  </r>
  <r>
    <x v="115"/>
    <d v="2025-03-19T00:00:00"/>
    <x v="7"/>
    <x v="1"/>
    <n v="800"/>
    <n v="4"/>
    <n v="3200"/>
    <x v="0"/>
    <x v="8"/>
    <x v="1"/>
    <s v="Completed"/>
    <x v="0"/>
    <x v="2"/>
  </r>
  <r>
    <x v="116"/>
    <d v="2025-02-27T00:00:00"/>
    <x v="3"/>
    <x v="2"/>
    <n v="20"/>
    <n v="1"/>
    <n v="20"/>
    <x v="7"/>
    <x v="0"/>
    <x v="2"/>
    <s v="Completed"/>
    <x v="1"/>
    <x v="2"/>
  </r>
  <r>
    <x v="117"/>
    <d v="2025-02-10T00:00:00"/>
    <x v="1"/>
    <x v="1"/>
    <n v="100"/>
    <n v="5"/>
    <n v="500"/>
    <x v="2"/>
    <x v="4"/>
    <x v="1"/>
    <s v="Completed"/>
    <x v="1"/>
    <x v="2"/>
  </r>
  <r>
    <x v="118"/>
    <d v="2025-03-16T00:00:00"/>
    <x v="4"/>
    <x v="1"/>
    <n v="500"/>
    <n v="2"/>
    <n v="1000"/>
    <x v="8"/>
    <x v="9"/>
    <x v="3"/>
    <s v="Pending"/>
    <x v="0"/>
    <x v="1"/>
  </r>
  <r>
    <x v="119"/>
    <d v="2025-02-16T00:00:00"/>
    <x v="7"/>
    <x v="1"/>
    <n v="800"/>
    <n v="5"/>
    <n v="4000"/>
    <x v="1"/>
    <x v="2"/>
    <x v="3"/>
    <s v="Completed"/>
    <x v="1"/>
    <x v="2"/>
  </r>
  <r>
    <x v="120"/>
    <d v="2025-02-18T00:00:00"/>
    <x v="4"/>
    <x v="1"/>
    <n v="500"/>
    <n v="1"/>
    <n v="500"/>
    <x v="2"/>
    <x v="3"/>
    <x v="4"/>
    <s v="Pending"/>
    <x v="1"/>
    <x v="1"/>
  </r>
  <r>
    <x v="121"/>
    <d v="2025-03-28T00:00:00"/>
    <x v="7"/>
    <x v="1"/>
    <n v="800"/>
    <n v="3"/>
    <n v="2400"/>
    <x v="2"/>
    <x v="5"/>
    <x v="2"/>
    <s v="Cancelled"/>
    <x v="0"/>
    <x v="0"/>
  </r>
  <r>
    <x v="122"/>
    <d v="2025-02-23T00:00:00"/>
    <x v="5"/>
    <x v="3"/>
    <n v="15"/>
    <n v="3"/>
    <n v="45"/>
    <x v="8"/>
    <x v="6"/>
    <x v="4"/>
    <s v="Cancelled"/>
    <x v="1"/>
    <x v="0"/>
  </r>
  <r>
    <x v="123"/>
    <d v="2025-02-10T00:00:00"/>
    <x v="5"/>
    <x v="3"/>
    <n v="15"/>
    <n v="1"/>
    <n v="15"/>
    <x v="0"/>
    <x v="7"/>
    <x v="4"/>
    <s v="Pending"/>
    <x v="1"/>
    <x v="1"/>
  </r>
  <r>
    <x v="124"/>
    <d v="2025-02-23T00:00:00"/>
    <x v="4"/>
    <x v="1"/>
    <n v="500"/>
    <n v="1"/>
    <n v="500"/>
    <x v="1"/>
    <x v="2"/>
    <x v="1"/>
    <s v="Completed"/>
    <x v="1"/>
    <x v="2"/>
  </r>
  <r>
    <x v="125"/>
    <d v="2025-02-04T00:00:00"/>
    <x v="9"/>
    <x v="4"/>
    <n v="1200"/>
    <n v="5"/>
    <n v="6000"/>
    <x v="3"/>
    <x v="9"/>
    <x v="4"/>
    <s v="Pending"/>
    <x v="1"/>
    <x v="1"/>
  </r>
  <r>
    <x v="126"/>
    <d v="2025-02-18T00:00:00"/>
    <x v="3"/>
    <x v="2"/>
    <n v="20"/>
    <n v="3"/>
    <n v="60"/>
    <x v="0"/>
    <x v="3"/>
    <x v="0"/>
    <s v="Completed"/>
    <x v="1"/>
    <x v="2"/>
  </r>
  <r>
    <x v="127"/>
    <d v="2025-03-23T00:00:00"/>
    <x v="2"/>
    <x v="1"/>
    <n v="150"/>
    <n v="2"/>
    <n v="300"/>
    <x v="1"/>
    <x v="3"/>
    <x v="3"/>
    <s v="Cancelled"/>
    <x v="0"/>
    <x v="0"/>
  </r>
  <r>
    <x v="128"/>
    <d v="2025-02-26T00:00:00"/>
    <x v="6"/>
    <x v="2"/>
    <n v="40"/>
    <n v="5"/>
    <n v="200"/>
    <x v="1"/>
    <x v="0"/>
    <x v="0"/>
    <s v="Pending"/>
    <x v="1"/>
    <x v="1"/>
  </r>
  <r>
    <x v="129"/>
    <d v="2025-02-10T00:00:00"/>
    <x v="2"/>
    <x v="1"/>
    <n v="150"/>
    <n v="5"/>
    <n v="750"/>
    <x v="5"/>
    <x v="6"/>
    <x v="3"/>
    <s v="Completed"/>
    <x v="1"/>
    <x v="2"/>
  </r>
  <r>
    <x v="130"/>
    <d v="2025-02-26T00:00:00"/>
    <x v="6"/>
    <x v="2"/>
    <n v="40"/>
    <n v="2"/>
    <n v="80"/>
    <x v="7"/>
    <x v="9"/>
    <x v="2"/>
    <s v="Pending"/>
    <x v="1"/>
    <x v="1"/>
  </r>
  <r>
    <x v="131"/>
    <d v="2025-03-07T00:00:00"/>
    <x v="4"/>
    <x v="1"/>
    <n v="500"/>
    <n v="2"/>
    <n v="1000"/>
    <x v="3"/>
    <x v="9"/>
    <x v="0"/>
    <s v="Pending"/>
    <x v="0"/>
    <x v="1"/>
  </r>
  <r>
    <x v="132"/>
    <d v="2025-02-23T00:00:00"/>
    <x v="7"/>
    <x v="1"/>
    <n v="800"/>
    <n v="1"/>
    <n v="800"/>
    <x v="1"/>
    <x v="0"/>
    <x v="1"/>
    <s v="Pending"/>
    <x v="1"/>
    <x v="1"/>
  </r>
  <r>
    <x v="133"/>
    <d v="2025-02-07T00:00:00"/>
    <x v="4"/>
    <x v="1"/>
    <n v="500"/>
    <n v="5"/>
    <n v="2500"/>
    <x v="5"/>
    <x v="9"/>
    <x v="4"/>
    <s v="Pending"/>
    <x v="1"/>
    <x v="1"/>
  </r>
  <r>
    <x v="134"/>
    <d v="2025-02-10T00:00:00"/>
    <x v="3"/>
    <x v="2"/>
    <n v="20"/>
    <n v="1"/>
    <n v="20"/>
    <x v="3"/>
    <x v="5"/>
    <x v="2"/>
    <s v="Pending"/>
    <x v="1"/>
    <x v="1"/>
  </r>
  <r>
    <x v="135"/>
    <d v="2025-02-11T00:00:00"/>
    <x v="9"/>
    <x v="4"/>
    <n v="1200"/>
    <n v="2"/>
    <n v="2400"/>
    <x v="7"/>
    <x v="1"/>
    <x v="3"/>
    <s v="Cancelled"/>
    <x v="1"/>
    <x v="0"/>
  </r>
  <r>
    <x v="136"/>
    <d v="2025-03-20T00:00:00"/>
    <x v="2"/>
    <x v="1"/>
    <n v="150"/>
    <n v="3"/>
    <n v="450"/>
    <x v="4"/>
    <x v="1"/>
    <x v="0"/>
    <s v="Completed"/>
    <x v="0"/>
    <x v="2"/>
  </r>
  <r>
    <x v="137"/>
    <d v="2025-02-11T00:00:00"/>
    <x v="2"/>
    <x v="1"/>
    <n v="150"/>
    <n v="5"/>
    <n v="750"/>
    <x v="2"/>
    <x v="8"/>
    <x v="2"/>
    <s v="Cancelled"/>
    <x v="1"/>
    <x v="0"/>
  </r>
  <r>
    <x v="138"/>
    <d v="2025-03-18T00:00:00"/>
    <x v="7"/>
    <x v="1"/>
    <n v="800"/>
    <n v="2"/>
    <n v="1600"/>
    <x v="6"/>
    <x v="2"/>
    <x v="3"/>
    <s v="Cancelled"/>
    <x v="0"/>
    <x v="0"/>
  </r>
  <r>
    <x v="139"/>
    <d v="2025-03-19T00:00:00"/>
    <x v="2"/>
    <x v="1"/>
    <n v="150"/>
    <n v="2"/>
    <n v="300"/>
    <x v="3"/>
    <x v="5"/>
    <x v="0"/>
    <s v="Completed"/>
    <x v="0"/>
    <x v="2"/>
  </r>
  <r>
    <x v="140"/>
    <d v="2025-03-21T00:00:00"/>
    <x v="4"/>
    <x v="1"/>
    <n v="500"/>
    <n v="2"/>
    <n v="1000"/>
    <x v="2"/>
    <x v="5"/>
    <x v="3"/>
    <s v="Completed"/>
    <x v="0"/>
    <x v="2"/>
  </r>
  <r>
    <x v="141"/>
    <d v="2025-03-15T00:00:00"/>
    <x v="4"/>
    <x v="1"/>
    <n v="500"/>
    <n v="3"/>
    <n v="1500"/>
    <x v="4"/>
    <x v="5"/>
    <x v="4"/>
    <s v="Completed"/>
    <x v="0"/>
    <x v="2"/>
  </r>
  <r>
    <x v="142"/>
    <d v="2025-03-31T00:00:00"/>
    <x v="9"/>
    <x v="4"/>
    <n v="1200"/>
    <n v="2"/>
    <n v="2400"/>
    <x v="9"/>
    <x v="3"/>
    <x v="3"/>
    <s v="Cancelled"/>
    <x v="0"/>
    <x v="0"/>
  </r>
  <r>
    <x v="143"/>
    <d v="2025-02-27T00:00:00"/>
    <x v="6"/>
    <x v="2"/>
    <n v="40"/>
    <n v="2"/>
    <n v="80"/>
    <x v="6"/>
    <x v="8"/>
    <x v="4"/>
    <s v="Cancelled"/>
    <x v="1"/>
    <x v="0"/>
  </r>
  <r>
    <x v="144"/>
    <d v="2025-03-08T00:00:00"/>
    <x v="2"/>
    <x v="1"/>
    <n v="150"/>
    <n v="2"/>
    <n v="300"/>
    <x v="6"/>
    <x v="7"/>
    <x v="0"/>
    <s v="Cancelled"/>
    <x v="0"/>
    <x v="0"/>
  </r>
  <r>
    <x v="145"/>
    <d v="2025-03-25T00:00:00"/>
    <x v="2"/>
    <x v="1"/>
    <n v="150"/>
    <n v="2"/>
    <n v="300"/>
    <x v="0"/>
    <x v="6"/>
    <x v="0"/>
    <s v="Completed"/>
    <x v="0"/>
    <x v="2"/>
  </r>
  <r>
    <x v="146"/>
    <d v="2025-02-05T00:00:00"/>
    <x v="0"/>
    <x v="0"/>
    <n v="60"/>
    <n v="5"/>
    <n v="300"/>
    <x v="9"/>
    <x v="3"/>
    <x v="3"/>
    <s v="Pending"/>
    <x v="1"/>
    <x v="1"/>
  </r>
  <r>
    <x v="147"/>
    <d v="2025-02-06T00:00:00"/>
    <x v="1"/>
    <x v="1"/>
    <n v="100"/>
    <n v="4"/>
    <n v="400"/>
    <x v="1"/>
    <x v="8"/>
    <x v="1"/>
    <s v="Cancelled"/>
    <x v="1"/>
    <x v="0"/>
  </r>
  <r>
    <x v="148"/>
    <d v="2025-03-20T00:00:00"/>
    <x v="0"/>
    <x v="0"/>
    <n v="60"/>
    <n v="3"/>
    <n v="180"/>
    <x v="6"/>
    <x v="0"/>
    <x v="4"/>
    <s v="Pending"/>
    <x v="0"/>
    <x v="1"/>
  </r>
  <r>
    <x v="149"/>
    <d v="2025-02-08T00:00:00"/>
    <x v="5"/>
    <x v="3"/>
    <n v="15"/>
    <n v="4"/>
    <n v="60"/>
    <x v="7"/>
    <x v="9"/>
    <x v="4"/>
    <s v="Cancelled"/>
    <x v="1"/>
    <x v="0"/>
  </r>
  <r>
    <x v="150"/>
    <d v="2025-03-29T00:00:00"/>
    <x v="8"/>
    <x v="4"/>
    <n v="600"/>
    <n v="4"/>
    <n v="2400"/>
    <x v="9"/>
    <x v="8"/>
    <x v="1"/>
    <s v="Pending"/>
    <x v="0"/>
    <x v="1"/>
  </r>
  <r>
    <x v="151"/>
    <d v="2025-02-28T00:00:00"/>
    <x v="2"/>
    <x v="1"/>
    <n v="150"/>
    <n v="1"/>
    <n v="150"/>
    <x v="2"/>
    <x v="7"/>
    <x v="4"/>
    <s v="Completed"/>
    <x v="1"/>
    <x v="2"/>
  </r>
  <r>
    <x v="152"/>
    <d v="2025-02-23T00:00:00"/>
    <x v="2"/>
    <x v="1"/>
    <n v="150"/>
    <n v="5"/>
    <n v="750"/>
    <x v="4"/>
    <x v="1"/>
    <x v="3"/>
    <s v="Pending"/>
    <x v="1"/>
    <x v="1"/>
  </r>
  <r>
    <x v="153"/>
    <d v="2025-03-01T00:00:00"/>
    <x v="1"/>
    <x v="1"/>
    <n v="100"/>
    <n v="2"/>
    <n v="200"/>
    <x v="2"/>
    <x v="2"/>
    <x v="0"/>
    <s v="Completed"/>
    <x v="0"/>
    <x v="2"/>
  </r>
  <r>
    <x v="154"/>
    <d v="2025-02-05T00:00:00"/>
    <x v="9"/>
    <x v="4"/>
    <n v="1200"/>
    <n v="4"/>
    <n v="4800"/>
    <x v="4"/>
    <x v="7"/>
    <x v="2"/>
    <s v="Pending"/>
    <x v="1"/>
    <x v="1"/>
  </r>
  <r>
    <x v="155"/>
    <d v="2025-03-16T00:00:00"/>
    <x v="2"/>
    <x v="1"/>
    <n v="150"/>
    <n v="4"/>
    <n v="600"/>
    <x v="3"/>
    <x v="5"/>
    <x v="3"/>
    <s v="Cancelled"/>
    <x v="0"/>
    <x v="0"/>
  </r>
  <r>
    <x v="156"/>
    <d v="2025-02-08T00:00:00"/>
    <x v="4"/>
    <x v="1"/>
    <n v="500"/>
    <n v="3"/>
    <n v="1500"/>
    <x v="4"/>
    <x v="2"/>
    <x v="2"/>
    <s v="Pending"/>
    <x v="1"/>
    <x v="1"/>
  </r>
  <r>
    <x v="157"/>
    <d v="2025-02-24T00:00:00"/>
    <x v="7"/>
    <x v="1"/>
    <n v="800"/>
    <n v="3"/>
    <n v="2400"/>
    <x v="8"/>
    <x v="5"/>
    <x v="0"/>
    <s v="Pending"/>
    <x v="1"/>
    <x v="1"/>
  </r>
  <r>
    <x v="158"/>
    <d v="2025-02-16T00:00:00"/>
    <x v="3"/>
    <x v="2"/>
    <n v="20"/>
    <n v="2"/>
    <n v="40"/>
    <x v="5"/>
    <x v="3"/>
    <x v="4"/>
    <s v="Cancelled"/>
    <x v="1"/>
    <x v="0"/>
  </r>
  <r>
    <x v="159"/>
    <d v="2025-02-06T00:00:00"/>
    <x v="8"/>
    <x v="4"/>
    <n v="600"/>
    <n v="3"/>
    <n v="1800"/>
    <x v="3"/>
    <x v="2"/>
    <x v="4"/>
    <s v="Cancelled"/>
    <x v="1"/>
    <x v="0"/>
  </r>
  <r>
    <x v="160"/>
    <d v="2025-02-22T00:00:00"/>
    <x v="1"/>
    <x v="1"/>
    <n v="100"/>
    <n v="1"/>
    <n v="100"/>
    <x v="1"/>
    <x v="8"/>
    <x v="2"/>
    <s v="Completed"/>
    <x v="1"/>
    <x v="2"/>
  </r>
  <r>
    <x v="161"/>
    <d v="2025-02-09T00:00:00"/>
    <x v="4"/>
    <x v="1"/>
    <n v="500"/>
    <n v="2"/>
    <n v="1000"/>
    <x v="3"/>
    <x v="9"/>
    <x v="2"/>
    <s v="Completed"/>
    <x v="1"/>
    <x v="2"/>
  </r>
  <r>
    <x v="162"/>
    <d v="2025-02-20T00:00:00"/>
    <x v="0"/>
    <x v="0"/>
    <n v="60"/>
    <n v="2"/>
    <n v="120"/>
    <x v="8"/>
    <x v="4"/>
    <x v="3"/>
    <s v="Completed"/>
    <x v="1"/>
    <x v="2"/>
  </r>
  <r>
    <x v="163"/>
    <d v="2025-02-25T00:00:00"/>
    <x v="2"/>
    <x v="1"/>
    <n v="150"/>
    <n v="5"/>
    <n v="750"/>
    <x v="6"/>
    <x v="6"/>
    <x v="0"/>
    <s v="Pending"/>
    <x v="1"/>
    <x v="1"/>
  </r>
  <r>
    <x v="164"/>
    <d v="2025-03-14T00:00:00"/>
    <x v="5"/>
    <x v="3"/>
    <n v="15"/>
    <n v="1"/>
    <n v="15"/>
    <x v="5"/>
    <x v="0"/>
    <x v="1"/>
    <s v="Pending"/>
    <x v="0"/>
    <x v="1"/>
  </r>
  <r>
    <x v="165"/>
    <d v="2025-03-30T00:00:00"/>
    <x v="8"/>
    <x v="4"/>
    <n v="600"/>
    <n v="4"/>
    <n v="2400"/>
    <x v="8"/>
    <x v="4"/>
    <x v="2"/>
    <s v="Pending"/>
    <x v="0"/>
    <x v="1"/>
  </r>
  <r>
    <x v="166"/>
    <d v="2025-03-20T00:00:00"/>
    <x v="9"/>
    <x v="4"/>
    <n v="1200"/>
    <n v="2"/>
    <n v="2400"/>
    <x v="3"/>
    <x v="7"/>
    <x v="2"/>
    <s v="Completed"/>
    <x v="0"/>
    <x v="2"/>
  </r>
  <r>
    <x v="167"/>
    <d v="2025-03-24T00:00:00"/>
    <x v="7"/>
    <x v="1"/>
    <n v="800"/>
    <n v="5"/>
    <n v="4000"/>
    <x v="6"/>
    <x v="5"/>
    <x v="0"/>
    <s v="Pending"/>
    <x v="0"/>
    <x v="1"/>
  </r>
  <r>
    <x v="168"/>
    <d v="2025-03-06T00:00:00"/>
    <x v="9"/>
    <x v="4"/>
    <n v="1200"/>
    <n v="2"/>
    <n v="2400"/>
    <x v="2"/>
    <x v="2"/>
    <x v="3"/>
    <s v="Completed"/>
    <x v="0"/>
    <x v="2"/>
  </r>
  <r>
    <x v="169"/>
    <d v="2025-02-28T00:00:00"/>
    <x v="7"/>
    <x v="1"/>
    <n v="800"/>
    <n v="1"/>
    <n v="800"/>
    <x v="0"/>
    <x v="1"/>
    <x v="4"/>
    <s v="Pending"/>
    <x v="1"/>
    <x v="1"/>
  </r>
  <r>
    <x v="170"/>
    <d v="2025-02-28T00:00:00"/>
    <x v="2"/>
    <x v="1"/>
    <n v="150"/>
    <n v="2"/>
    <n v="300"/>
    <x v="7"/>
    <x v="4"/>
    <x v="3"/>
    <s v="Completed"/>
    <x v="1"/>
    <x v="2"/>
  </r>
  <r>
    <x v="171"/>
    <d v="2025-03-12T00:00:00"/>
    <x v="5"/>
    <x v="3"/>
    <n v="15"/>
    <n v="1"/>
    <n v="15"/>
    <x v="5"/>
    <x v="5"/>
    <x v="0"/>
    <s v="Cancelled"/>
    <x v="0"/>
    <x v="0"/>
  </r>
  <r>
    <x v="172"/>
    <d v="2025-02-28T00:00:00"/>
    <x v="9"/>
    <x v="4"/>
    <n v="1200"/>
    <n v="1"/>
    <n v="1200"/>
    <x v="3"/>
    <x v="7"/>
    <x v="3"/>
    <s v="Completed"/>
    <x v="1"/>
    <x v="2"/>
  </r>
  <r>
    <x v="173"/>
    <d v="2025-03-13T00:00:00"/>
    <x v="2"/>
    <x v="1"/>
    <n v="150"/>
    <n v="2"/>
    <n v="300"/>
    <x v="5"/>
    <x v="9"/>
    <x v="0"/>
    <s v="Pending"/>
    <x v="0"/>
    <x v="1"/>
  </r>
  <r>
    <x v="174"/>
    <d v="2025-03-24T00:00:00"/>
    <x v="6"/>
    <x v="2"/>
    <n v="40"/>
    <n v="5"/>
    <n v="200"/>
    <x v="5"/>
    <x v="0"/>
    <x v="0"/>
    <s v="Cancelled"/>
    <x v="0"/>
    <x v="0"/>
  </r>
  <r>
    <x v="175"/>
    <d v="2025-03-27T00:00:00"/>
    <x v="5"/>
    <x v="3"/>
    <n v="15"/>
    <n v="1"/>
    <n v="15"/>
    <x v="6"/>
    <x v="6"/>
    <x v="1"/>
    <s v="Completed"/>
    <x v="0"/>
    <x v="2"/>
  </r>
  <r>
    <x v="176"/>
    <d v="2025-03-14T00:00:00"/>
    <x v="5"/>
    <x v="3"/>
    <n v="15"/>
    <n v="5"/>
    <n v="75"/>
    <x v="5"/>
    <x v="1"/>
    <x v="2"/>
    <s v="Pending"/>
    <x v="0"/>
    <x v="1"/>
  </r>
  <r>
    <x v="177"/>
    <d v="2025-02-06T00:00:00"/>
    <x v="4"/>
    <x v="1"/>
    <n v="500"/>
    <n v="3"/>
    <n v="1500"/>
    <x v="1"/>
    <x v="9"/>
    <x v="3"/>
    <s v="Completed"/>
    <x v="1"/>
    <x v="2"/>
  </r>
  <r>
    <x v="178"/>
    <d v="2025-03-25T00:00:00"/>
    <x v="6"/>
    <x v="2"/>
    <n v="40"/>
    <n v="1"/>
    <n v="40"/>
    <x v="3"/>
    <x v="7"/>
    <x v="3"/>
    <s v="Cancelled"/>
    <x v="0"/>
    <x v="0"/>
  </r>
  <r>
    <x v="179"/>
    <d v="2025-03-04T00:00:00"/>
    <x v="9"/>
    <x v="4"/>
    <n v="1200"/>
    <n v="3"/>
    <n v="3600"/>
    <x v="5"/>
    <x v="6"/>
    <x v="4"/>
    <s v="Completed"/>
    <x v="0"/>
    <x v="2"/>
  </r>
  <r>
    <x v="180"/>
    <d v="2025-03-03T00:00:00"/>
    <x v="0"/>
    <x v="0"/>
    <n v="60"/>
    <n v="2"/>
    <n v="120"/>
    <x v="5"/>
    <x v="8"/>
    <x v="0"/>
    <s v="Cancelled"/>
    <x v="0"/>
    <x v="0"/>
  </r>
  <r>
    <x v="181"/>
    <d v="2025-04-02T00:00:00"/>
    <x v="3"/>
    <x v="2"/>
    <n v="20"/>
    <n v="5"/>
    <n v="100"/>
    <x v="0"/>
    <x v="2"/>
    <x v="3"/>
    <s v="Completed"/>
    <x v="2"/>
    <x v="2"/>
  </r>
  <r>
    <x v="182"/>
    <d v="2025-03-25T00:00:00"/>
    <x v="8"/>
    <x v="4"/>
    <n v="600"/>
    <n v="1"/>
    <n v="600"/>
    <x v="0"/>
    <x v="7"/>
    <x v="0"/>
    <s v="Pending"/>
    <x v="0"/>
    <x v="1"/>
  </r>
  <r>
    <x v="183"/>
    <d v="2025-02-17T00:00:00"/>
    <x v="5"/>
    <x v="3"/>
    <n v="15"/>
    <n v="5"/>
    <n v="75"/>
    <x v="7"/>
    <x v="5"/>
    <x v="0"/>
    <s v="Pending"/>
    <x v="1"/>
    <x v="1"/>
  </r>
  <r>
    <x v="184"/>
    <d v="2025-03-22T00:00:00"/>
    <x v="3"/>
    <x v="2"/>
    <n v="20"/>
    <n v="1"/>
    <n v="20"/>
    <x v="8"/>
    <x v="3"/>
    <x v="0"/>
    <s v="Completed"/>
    <x v="0"/>
    <x v="2"/>
  </r>
  <r>
    <x v="185"/>
    <d v="2025-03-02T00:00:00"/>
    <x v="8"/>
    <x v="4"/>
    <n v="600"/>
    <n v="4"/>
    <n v="2400"/>
    <x v="6"/>
    <x v="0"/>
    <x v="3"/>
    <s v="Completed"/>
    <x v="0"/>
    <x v="2"/>
  </r>
  <r>
    <x v="186"/>
    <d v="2025-03-13T00:00:00"/>
    <x v="7"/>
    <x v="1"/>
    <n v="800"/>
    <n v="3"/>
    <n v="2400"/>
    <x v="2"/>
    <x v="0"/>
    <x v="3"/>
    <s v="Pending"/>
    <x v="0"/>
    <x v="1"/>
  </r>
  <r>
    <x v="187"/>
    <d v="2025-02-14T00:00:00"/>
    <x v="5"/>
    <x v="3"/>
    <n v="15"/>
    <n v="1"/>
    <n v="15"/>
    <x v="2"/>
    <x v="6"/>
    <x v="1"/>
    <s v="Completed"/>
    <x v="1"/>
    <x v="2"/>
  </r>
  <r>
    <x v="188"/>
    <d v="2025-02-10T00:00:00"/>
    <x v="7"/>
    <x v="1"/>
    <n v="800"/>
    <n v="3"/>
    <n v="2400"/>
    <x v="9"/>
    <x v="4"/>
    <x v="1"/>
    <s v="Completed"/>
    <x v="1"/>
    <x v="2"/>
  </r>
  <r>
    <x v="189"/>
    <d v="2025-02-23T00:00:00"/>
    <x v="0"/>
    <x v="0"/>
    <n v="60"/>
    <n v="1"/>
    <n v="60"/>
    <x v="4"/>
    <x v="4"/>
    <x v="3"/>
    <s v="Completed"/>
    <x v="1"/>
    <x v="2"/>
  </r>
  <r>
    <x v="190"/>
    <d v="2025-02-28T00:00:00"/>
    <x v="6"/>
    <x v="2"/>
    <n v="40"/>
    <n v="4"/>
    <n v="160"/>
    <x v="2"/>
    <x v="7"/>
    <x v="1"/>
    <s v="Pending"/>
    <x v="1"/>
    <x v="1"/>
  </r>
  <r>
    <x v="191"/>
    <d v="2025-03-31T00:00:00"/>
    <x v="1"/>
    <x v="1"/>
    <n v="100"/>
    <n v="3"/>
    <n v="300"/>
    <x v="4"/>
    <x v="3"/>
    <x v="4"/>
    <s v="Pending"/>
    <x v="0"/>
    <x v="1"/>
  </r>
  <r>
    <x v="192"/>
    <d v="2025-03-30T00:00:00"/>
    <x v="5"/>
    <x v="3"/>
    <n v="15"/>
    <n v="5"/>
    <n v="75"/>
    <x v="5"/>
    <x v="9"/>
    <x v="1"/>
    <s v="Pending"/>
    <x v="0"/>
    <x v="1"/>
  </r>
  <r>
    <x v="193"/>
    <d v="2025-02-20T00:00:00"/>
    <x v="6"/>
    <x v="2"/>
    <n v="40"/>
    <n v="4"/>
    <n v="160"/>
    <x v="2"/>
    <x v="1"/>
    <x v="0"/>
    <s v="Cancelled"/>
    <x v="1"/>
    <x v="0"/>
  </r>
  <r>
    <x v="194"/>
    <d v="2025-03-10T00:00:00"/>
    <x v="4"/>
    <x v="1"/>
    <n v="500"/>
    <n v="3"/>
    <n v="1500"/>
    <x v="3"/>
    <x v="2"/>
    <x v="4"/>
    <s v="Cancelled"/>
    <x v="0"/>
    <x v="0"/>
  </r>
  <r>
    <x v="195"/>
    <d v="2025-03-04T00:00:00"/>
    <x v="1"/>
    <x v="1"/>
    <n v="100"/>
    <n v="5"/>
    <n v="500"/>
    <x v="7"/>
    <x v="7"/>
    <x v="0"/>
    <s v="Pending"/>
    <x v="0"/>
    <x v="1"/>
  </r>
  <r>
    <x v="196"/>
    <d v="2025-03-12T00:00:00"/>
    <x v="0"/>
    <x v="0"/>
    <n v="60"/>
    <n v="2"/>
    <n v="120"/>
    <x v="6"/>
    <x v="2"/>
    <x v="4"/>
    <s v="Completed"/>
    <x v="0"/>
    <x v="2"/>
  </r>
  <r>
    <x v="197"/>
    <d v="2025-02-20T00:00:00"/>
    <x v="7"/>
    <x v="1"/>
    <n v="800"/>
    <n v="4"/>
    <n v="3200"/>
    <x v="9"/>
    <x v="7"/>
    <x v="1"/>
    <s v="Pending"/>
    <x v="1"/>
    <x v="1"/>
  </r>
  <r>
    <x v="198"/>
    <d v="2025-02-22T00:00:00"/>
    <x v="4"/>
    <x v="1"/>
    <n v="500"/>
    <n v="3"/>
    <n v="1500"/>
    <x v="8"/>
    <x v="3"/>
    <x v="2"/>
    <s v="Completed"/>
    <x v="1"/>
    <x v="2"/>
  </r>
  <r>
    <x v="199"/>
    <d v="2025-02-10T00:00:00"/>
    <x v="5"/>
    <x v="3"/>
    <n v="15"/>
    <n v="2"/>
    <n v="30"/>
    <x v="8"/>
    <x v="8"/>
    <x v="0"/>
    <s v="Completed"/>
    <x v="1"/>
    <x v="2"/>
  </r>
  <r>
    <x v="200"/>
    <d v="2025-02-03T00:00:00"/>
    <x v="5"/>
    <x v="3"/>
    <n v="15"/>
    <n v="4"/>
    <n v="60"/>
    <x v="6"/>
    <x v="1"/>
    <x v="2"/>
    <s v="Completed"/>
    <x v="1"/>
    <x v="2"/>
  </r>
  <r>
    <x v="201"/>
    <d v="2025-02-21T00:00:00"/>
    <x v="4"/>
    <x v="1"/>
    <n v="500"/>
    <n v="2"/>
    <n v="1000"/>
    <x v="7"/>
    <x v="5"/>
    <x v="2"/>
    <s v="Cancelled"/>
    <x v="1"/>
    <x v="0"/>
  </r>
  <r>
    <x v="202"/>
    <d v="2025-02-21T00:00:00"/>
    <x v="9"/>
    <x v="4"/>
    <n v="1200"/>
    <n v="3"/>
    <n v="3600"/>
    <x v="2"/>
    <x v="3"/>
    <x v="0"/>
    <s v="Completed"/>
    <x v="1"/>
    <x v="2"/>
  </r>
  <r>
    <x v="203"/>
    <d v="2025-03-08T00:00:00"/>
    <x v="0"/>
    <x v="0"/>
    <n v="60"/>
    <n v="5"/>
    <n v="300"/>
    <x v="9"/>
    <x v="5"/>
    <x v="4"/>
    <s v="Pending"/>
    <x v="0"/>
    <x v="1"/>
  </r>
  <r>
    <x v="204"/>
    <d v="2025-02-27T00:00:00"/>
    <x v="1"/>
    <x v="1"/>
    <n v="100"/>
    <n v="2"/>
    <n v="200"/>
    <x v="5"/>
    <x v="4"/>
    <x v="3"/>
    <s v="Completed"/>
    <x v="1"/>
    <x v="2"/>
  </r>
  <r>
    <x v="205"/>
    <d v="2025-02-12T00:00:00"/>
    <x v="8"/>
    <x v="4"/>
    <n v="600"/>
    <n v="5"/>
    <n v="3000"/>
    <x v="0"/>
    <x v="5"/>
    <x v="1"/>
    <s v="Pending"/>
    <x v="1"/>
    <x v="1"/>
  </r>
  <r>
    <x v="206"/>
    <d v="2025-03-21T00:00:00"/>
    <x v="8"/>
    <x v="4"/>
    <n v="600"/>
    <n v="1"/>
    <n v="600"/>
    <x v="2"/>
    <x v="5"/>
    <x v="2"/>
    <s v="Completed"/>
    <x v="0"/>
    <x v="2"/>
  </r>
  <r>
    <x v="207"/>
    <d v="2025-02-02T00:00:00"/>
    <x v="9"/>
    <x v="4"/>
    <n v="1200"/>
    <n v="3"/>
    <n v="3600"/>
    <x v="2"/>
    <x v="5"/>
    <x v="3"/>
    <s v="Completed"/>
    <x v="1"/>
    <x v="2"/>
  </r>
  <r>
    <x v="208"/>
    <d v="2025-03-29T00:00:00"/>
    <x v="6"/>
    <x v="2"/>
    <n v="40"/>
    <n v="5"/>
    <n v="200"/>
    <x v="7"/>
    <x v="3"/>
    <x v="3"/>
    <s v="Completed"/>
    <x v="0"/>
    <x v="2"/>
  </r>
  <r>
    <x v="209"/>
    <d v="2025-03-23T00:00:00"/>
    <x v="7"/>
    <x v="1"/>
    <n v="800"/>
    <n v="3"/>
    <n v="2400"/>
    <x v="9"/>
    <x v="0"/>
    <x v="3"/>
    <s v="Completed"/>
    <x v="0"/>
    <x v="2"/>
  </r>
  <r>
    <x v="210"/>
    <d v="2025-03-13T00:00:00"/>
    <x v="4"/>
    <x v="1"/>
    <n v="500"/>
    <n v="1"/>
    <n v="500"/>
    <x v="5"/>
    <x v="5"/>
    <x v="4"/>
    <s v="Pending"/>
    <x v="0"/>
    <x v="1"/>
  </r>
  <r>
    <x v="211"/>
    <d v="2025-03-09T00:00:00"/>
    <x v="3"/>
    <x v="2"/>
    <n v="20"/>
    <n v="4"/>
    <n v="80"/>
    <x v="0"/>
    <x v="4"/>
    <x v="0"/>
    <s v="Completed"/>
    <x v="0"/>
    <x v="2"/>
  </r>
  <r>
    <x v="212"/>
    <d v="2025-02-06T00:00:00"/>
    <x v="7"/>
    <x v="1"/>
    <n v="800"/>
    <n v="1"/>
    <n v="800"/>
    <x v="9"/>
    <x v="8"/>
    <x v="1"/>
    <s v="Cancelled"/>
    <x v="1"/>
    <x v="0"/>
  </r>
  <r>
    <x v="213"/>
    <d v="2025-02-18T00:00:00"/>
    <x v="2"/>
    <x v="1"/>
    <n v="150"/>
    <n v="5"/>
    <n v="750"/>
    <x v="1"/>
    <x v="4"/>
    <x v="0"/>
    <s v="Completed"/>
    <x v="1"/>
    <x v="2"/>
  </r>
  <r>
    <x v="214"/>
    <d v="2025-03-07T00:00:00"/>
    <x v="0"/>
    <x v="0"/>
    <n v="60"/>
    <n v="1"/>
    <n v="60"/>
    <x v="0"/>
    <x v="4"/>
    <x v="3"/>
    <s v="Completed"/>
    <x v="0"/>
    <x v="2"/>
  </r>
  <r>
    <x v="215"/>
    <d v="2025-03-26T00:00:00"/>
    <x v="6"/>
    <x v="2"/>
    <n v="40"/>
    <n v="2"/>
    <n v="80"/>
    <x v="8"/>
    <x v="9"/>
    <x v="2"/>
    <s v="Completed"/>
    <x v="0"/>
    <x v="2"/>
  </r>
  <r>
    <x v="216"/>
    <d v="2025-03-19T00:00:00"/>
    <x v="0"/>
    <x v="0"/>
    <n v="60"/>
    <n v="2"/>
    <n v="120"/>
    <x v="0"/>
    <x v="6"/>
    <x v="4"/>
    <s v="Pending"/>
    <x v="0"/>
    <x v="1"/>
  </r>
  <r>
    <x v="217"/>
    <d v="2025-02-15T00:00:00"/>
    <x v="1"/>
    <x v="1"/>
    <n v="100"/>
    <n v="4"/>
    <n v="400"/>
    <x v="7"/>
    <x v="0"/>
    <x v="4"/>
    <s v="Cancelled"/>
    <x v="1"/>
    <x v="0"/>
  </r>
  <r>
    <x v="218"/>
    <d v="2025-02-17T00:00:00"/>
    <x v="1"/>
    <x v="1"/>
    <n v="100"/>
    <n v="3"/>
    <n v="300"/>
    <x v="5"/>
    <x v="4"/>
    <x v="3"/>
    <s v="Cancelled"/>
    <x v="1"/>
    <x v="0"/>
  </r>
  <r>
    <x v="219"/>
    <d v="2025-02-10T00:00:00"/>
    <x v="2"/>
    <x v="1"/>
    <n v="150"/>
    <n v="3"/>
    <n v="450"/>
    <x v="6"/>
    <x v="2"/>
    <x v="0"/>
    <s v="Completed"/>
    <x v="1"/>
    <x v="2"/>
  </r>
  <r>
    <x v="220"/>
    <d v="2025-02-28T00:00:00"/>
    <x v="8"/>
    <x v="4"/>
    <n v="600"/>
    <n v="2"/>
    <n v="1200"/>
    <x v="1"/>
    <x v="9"/>
    <x v="4"/>
    <s v="Cancelled"/>
    <x v="1"/>
    <x v="0"/>
  </r>
  <r>
    <x v="221"/>
    <d v="2025-02-16T00:00:00"/>
    <x v="8"/>
    <x v="4"/>
    <n v="600"/>
    <n v="2"/>
    <n v="1200"/>
    <x v="8"/>
    <x v="7"/>
    <x v="3"/>
    <s v="Cancelled"/>
    <x v="1"/>
    <x v="0"/>
  </r>
  <r>
    <x v="222"/>
    <d v="2025-03-24T00:00:00"/>
    <x v="6"/>
    <x v="2"/>
    <n v="40"/>
    <n v="2"/>
    <n v="80"/>
    <x v="5"/>
    <x v="2"/>
    <x v="1"/>
    <s v="Cancelled"/>
    <x v="0"/>
    <x v="0"/>
  </r>
  <r>
    <x v="223"/>
    <d v="2025-03-18T00:00:00"/>
    <x v="9"/>
    <x v="4"/>
    <n v="1200"/>
    <n v="1"/>
    <n v="1200"/>
    <x v="9"/>
    <x v="5"/>
    <x v="3"/>
    <s v="Completed"/>
    <x v="0"/>
    <x v="2"/>
  </r>
  <r>
    <x v="224"/>
    <d v="2025-03-11T00:00:00"/>
    <x v="6"/>
    <x v="2"/>
    <n v="40"/>
    <n v="1"/>
    <n v="40"/>
    <x v="4"/>
    <x v="0"/>
    <x v="4"/>
    <s v="Cancelled"/>
    <x v="0"/>
    <x v="0"/>
  </r>
  <r>
    <x v="225"/>
    <d v="2025-03-05T00:00:00"/>
    <x v="0"/>
    <x v="0"/>
    <n v="60"/>
    <n v="4"/>
    <n v="240"/>
    <x v="8"/>
    <x v="9"/>
    <x v="1"/>
    <s v="Completed"/>
    <x v="0"/>
    <x v="2"/>
  </r>
  <r>
    <x v="226"/>
    <d v="2025-04-02T00:00:00"/>
    <x v="1"/>
    <x v="1"/>
    <n v="100"/>
    <n v="5"/>
    <n v="500"/>
    <x v="0"/>
    <x v="5"/>
    <x v="1"/>
    <s v="Cancelled"/>
    <x v="2"/>
    <x v="0"/>
  </r>
  <r>
    <x v="227"/>
    <d v="2025-02-12T00:00:00"/>
    <x v="0"/>
    <x v="0"/>
    <n v="60"/>
    <n v="1"/>
    <n v="60"/>
    <x v="5"/>
    <x v="1"/>
    <x v="2"/>
    <s v="Pending"/>
    <x v="1"/>
    <x v="1"/>
  </r>
  <r>
    <x v="228"/>
    <d v="2025-03-21T00:00:00"/>
    <x v="0"/>
    <x v="0"/>
    <n v="60"/>
    <n v="3"/>
    <n v="180"/>
    <x v="0"/>
    <x v="1"/>
    <x v="2"/>
    <s v="Pending"/>
    <x v="0"/>
    <x v="1"/>
  </r>
  <r>
    <x v="229"/>
    <d v="2025-03-31T00:00:00"/>
    <x v="1"/>
    <x v="1"/>
    <n v="100"/>
    <n v="4"/>
    <n v="400"/>
    <x v="9"/>
    <x v="1"/>
    <x v="1"/>
    <s v="Pending"/>
    <x v="0"/>
    <x v="1"/>
  </r>
  <r>
    <x v="230"/>
    <d v="2025-02-16T00:00:00"/>
    <x v="7"/>
    <x v="1"/>
    <n v="800"/>
    <n v="5"/>
    <n v="4000"/>
    <x v="9"/>
    <x v="6"/>
    <x v="2"/>
    <s v="Cancelled"/>
    <x v="1"/>
    <x v="0"/>
  </r>
  <r>
    <x v="231"/>
    <d v="2025-03-14T00:00:00"/>
    <x v="9"/>
    <x v="4"/>
    <n v="1200"/>
    <n v="3"/>
    <n v="3600"/>
    <x v="0"/>
    <x v="8"/>
    <x v="2"/>
    <s v="Completed"/>
    <x v="0"/>
    <x v="2"/>
  </r>
  <r>
    <x v="232"/>
    <d v="2025-02-20T00:00:00"/>
    <x v="0"/>
    <x v="0"/>
    <n v="60"/>
    <n v="1"/>
    <n v="60"/>
    <x v="5"/>
    <x v="6"/>
    <x v="3"/>
    <s v="Cancelled"/>
    <x v="1"/>
    <x v="0"/>
  </r>
  <r>
    <x v="233"/>
    <d v="2025-03-08T00:00:00"/>
    <x v="5"/>
    <x v="3"/>
    <n v="15"/>
    <n v="1"/>
    <n v="15"/>
    <x v="9"/>
    <x v="5"/>
    <x v="1"/>
    <s v="Cancelled"/>
    <x v="0"/>
    <x v="0"/>
  </r>
  <r>
    <x v="234"/>
    <d v="2025-03-23T00:00:00"/>
    <x v="9"/>
    <x v="4"/>
    <n v="1200"/>
    <n v="1"/>
    <n v="1200"/>
    <x v="7"/>
    <x v="3"/>
    <x v="3"/>
    <s v="Completed"/>
    <x v="0"/>
    <x v="2"/>
  </r>
  <r>
    <x v="235"/>
    <d v="2025-03-05T00:00:00"/>
    <x v="4"/>
    <x v="1"/>
    <n v="500"/>
    <n v="5"/>
    <n v="2500"/>
    <x v="2"/>
    <x v="6"/>
    <x v="3"/>
    <s v="Completed"/>
    <x v="0"/>
    <x v="2"/>
  </r>
  <r>
    <x v="236"/>
    <d v="2025-02-11T00:00:00"/>
    <x v="1"/>
    <x v="1"/>
    <n v="100"/>
    <n v="3"/>
    <n v="300"/>
    <x v="6"/>
    <x v="4"/>
    <x v="0"/>
    <s v="Cancelled"/>
    <x v="1"/>
    <x v="0"/>
  </r>
  <r>
    <x v="237"/>
    <d v="2025-03-16T00:00:00"/>
    <x v="1"/>
    <x v="1"/>
    <n v="100"/>
    <n v="1"/>
    <n v="100"/>
    <x v="3"/>
    <x v="2"/>
    <x v="3"/>
    <s v="Completed"/>
    <x v="0"/>
    <x v="2"/>
  </r>
  <r>
    <x v="238"/>
    <d v="2025-03-22T00:00:00"/>
    <x v="2"/>
    <x v="1"/>
    <n v="150"/>
    <n v="5"/>
    <n v="750"/>
    <x v="7"/>
    <x v="4"/>
    <x v="1"/>
    <s v="Completed"/>
    <x v="0"/>
    <x v="2"/>
  </r>
  <r>
    <x v="239"/>
    <d v="2025-02-09T00:00:00"/>
    <x v="2"/>
    <x v="1"/>
    <n v="150"/>
    <n v="1"/>
    <n v="150"/>
    <x v="2"/>
    <x v="2"/>
    <x v="4"/>
    <s v="Pending"/>
    <x v="1"/>
    <x v="1"/>
  </r>
  <r>
    <x v="240"/>
    <d v="2025-03-30T00:00:00"/>
    <x v="4"/>
    <x v="1"/>
    <n v="500"/>
    <n v="4"/>
    <n v="2000"/>
    <x v="3"/>
    <x v="0"/>
    <x v="2"/>
    <s v="Pending"/>
    <x v="0"/>
    <x v="1"/>
  </r>
  <r>
    <x v="241"/>
    <d v="2025-03-08T00:00:00"/>
    <x v="4"/>
    <x v="1"/>
    <n v="500"/>
    <n v="4"/>
    <n v="2000"/>
    <x v="8"/>
    <x v="6"/>
    <x v="4"/>
    <s v="Pending"/>
    <x v="0"/>
    <x v="1"/>
  </r>
  <r>
    <x v="242"/>
    <d v="2025-03-05T00:00:00"/>
    <x v="0"/>
    <x v="0"/>
    <n v="60"/>
    <n v="2"/>
    <n v="120"/>
    <x v="8"/>
    <x v="4"/>
    <x v="1"/>
    <s v="Completed"/>
    <x v="0"/>
    <x v="2"/>
  </r>
  <r>
    <x v="243"/>
    <d v="2025-02-06T00:00:00"/>
    <x v="4"/>
    <x v="1"/>
    <n v="500"/>
    <n v="4"/>
    <n v="2000"/>
    <x v="0"/>
    <x v="4"/>
    <x v="2"/>
    <s v="Completed"/>
    <x v="1"/>
    <x v="2"/>
  </r>
  <r>
    <x v="244"/>
    <d v="2025-02-04T00:00:00"/>
    <x v="7"/>
    <x v="1"/>
    <n v="800"/>
    <n v="1"/>
    <n v="800"/>
    <x v="6"/>
    <x v="8"/>
    <x v="2"/>
    <s v="Cancelled"/>
    <x v="1"/>
    <x v="0"/>
  </r>
  <r>
    <x v="245"/>
    <d v="2025-03-17T00:00:00"/>
    <x v="3"/>
    <x v="2"/>
    <n v="20"/>
    <n v="2"/>
    <n v="40"/>
    <x v="7"/>
    <x v="5"/>
    <x v="0"/>
    <s v="Cancelled"/>
    <x v="0"/>
    <x v="0"/>
  </r>
  <r>
    <x v="246"/>
    <d v="2025-03-30T00:00:00"/>
    <x v="6"/>
    <x v="2"/>
    <n v="40"/>
    <n v="1"/>
    <n v="40"/>
    <x v="4"/>
    <x v="3"/>
    <x v="0"/>
    <s v="Cancelled"/>
    <x v="0"/>
    <x v="0"/>
  </r>
  <r>
    <x v="247"/>
    <d v="2025-03-05T00:00:00"/>
    <x v="3"/>
    <x v="2"/>
    <n v="20"/>
    <n v="2"/>
    <n v="40"/>
    <x v="8"/>
    <x v="2"/>
    <x v="0"/>
    <s v="Cancelled"/>
    <x v="0"/>
    <x v="0"/>
  </r>
  <r>
    <x v="248"/>
    <d v="2025-03-08T00:00:00"/>
    <x v="2"/>
    <x v="1"/>
    <n v="150"/>
    <n v="3"/>
    <n v="450"/>
    <x v="1"/>
    <x v="0"/>
    <x v="0"/>
    <s v="Cancelled"/>
    <x v="0"/>
    <x v="0"/>
  </r>
  <r>
    <x v="249"/>
    <d v="2025-02-19T00:00:00"/>
    <x v="4"/>
    <x v="1"/>
    <n v="500"/>
    <n v="4"/>
    <n v="2000"/>
    <x v="1"/>
    <x v="7"/>
    <x v="1"/>
    <s v="Completed"/>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73D90-FD9E-4ADC-A3CE-7E77E11AD440}"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K16" firstHeaderRow="1" firstDataRow="1" firstDataCol="0"/>
  <pivotFields count="13">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pivotField showAll="0"/>
    <pivotField showAll="0">
      <items count="6">
        <item h="1" x="3"/>
        <item h="1" x="2"/>
        <item h="1" x="1"/>
        <item h="1" x="0"/>
        <item x="4"/>
        <item t="default"/>
      </items>
    </pivotField>
    <pivotField numFmtId="2" showAll="0"/>
    <pivotField numFmtId="1"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Items count="1">
    <i/>
  </rowItems>
  <colItems count="1">
    <i/>
  </colItems>
  <dataFields count="1">
    <dataField name="Average of Total Sales" fld="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53B35D-D558-4C81-BDB6-1D94E8555732}"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K13" firstHeaderRow="1" firstDataRow="1" firstDataCol="0"/>
  <pivotFields count="13">
    <pivotField dataField="1" showAll="0"/>
    <pivotField numFmtId="14" showAll="0"/>
    <pivotField showAll="0"/>
    <pivotField showAll="0">
      <items count="6">
        <item h="1" x="3"/>
        <item h="1" x="2"/>
        <item h="1" x="1"/>
        <item h="1" x="0"/>
        <item x="4"/>
        <item t="default"/>
      </items>
    </pivotField>
    <pivotField numFmtId="2" showAll="0"/>
    <pivotField numFmtId="1" showAll="0"/>
    <pivotField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4B712-2003-47D3-9211-5F4428C612EB}"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pivotFields count="13">
    <pivotField showAll="0"/>
    <pivotField numFmtId="14" showAll="0"/>
    <pivotField showAll="0"/>
    <pivotField showAll="0">
      <items count="6">
        <item h="1" x="3"/>
        <item h="1" x="2"/>
        <item h="1" x="1"/>
        <item h="1" x="0"/>
        <item x="4"/>
        <item t="default"/>
      </items>
    </pivotField>
    <pivotField numFmtId="2" showAll="0"/>
    <pivotField dataField="1" numFmtId="1" showAll="0"/>
    <pivotField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Items count="1">
    <i/>
  </rowItems>
  <colItems count="1">
    <i/>
  </colItems>
  <dataFields count="1">
    <dataField name="Sum of Quantity"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D4B88-1F25-4F74-A58E-E08F22B2290F}"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6" firstHeaderRow="1" firstDataRow="1" firstDataCol="0"/>
  <pivotFields count="13">
    <pivotField showAll="0"/>
    <pivotField numFmtId="14" showAll="0"/>
    <pivotField showAll="0"/>
    <pivotField showAll="0">
      <items count="6">
        <item h="1" x="3"/>
        <item h="1" x="2"/>
        <item h="1" x="1"/>
        <item h="1" x="0"/>
        <item x="4"/>
        <item t="default"/>
      </items>
    </pivotField>
    <pivotField numFmtId="2" showAll="0"/>
    <pivotField numFmtId="1"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Items count="1">
    <i/>
  </rowItems>
  <colItems count="1">
    <i/>
  </colItems>
  <dataFields count="1">
    <dataField name="Sum of Total Sales" fld="6" baseField="0" baseItem="0" numFmtId="164"/>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CB041C-1126-47F2-8F43-64C8D54FAB0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8:E22" firstHeaderRow="1" firstDataRow="1" firstDataCol="1"/>
  <pivotFields count="13">
    <pivotField showAll="0"/>
    <pivotField numFmtId="14" showAll="0"/>
    <pivotField showAll="0"/>
    <pivotField showAll="0">
      <items count="6">
        <item h="1" x="3"/>
        <item h="1" x="2"/>
        <item h="1" x="1"/>
        <item h="1" x="0"/>
        <item x="4"/>
        <item t="default"/>
      </items>
    </pivotField>
    <pivotField numFmtId="2" showAll="0"/>
    <pivotField numFmtId="1" showAll="0"/>
    <pivotField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axis="axisRow" dataField="1" showAll="0">
      <items count="4">
        <item x="0"/>
        <item x="2"/>
        <item x="1"/>
        <item t="default"/>
      </items>
    </pivotField>
  </pivotFields>
  <rowFields count="1">
    <field x="12"/>
  </rowFields>
  <rowItems count="4">
    <i>
      <x/>
    </i>
    <i>
      <x v="1"/>
    </i>
    <i>
      <x v="2"/>
    </i>
    <i t="grand">
      <x/>
    </i>
  </rowItems>
  <colItems count="1">
    <i/>
  </colItems>
  <dataFields count="1">
    <dataField name="Count of Order Status" fld="12" subtotal="count" showDataAs="percentOfCol" baseField="0"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917E3-6553-4694-91FF-C46A9CEB1BD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4" firstHeaderRow="1" firstDataRow="1" firstDataCol="1"/>
  <pivotFields count="13">
    <pivotField showAll="0"/>
    <pivotField numFmtId="14" showAll="0"/>
    <pivotField showAll="0"/>
    <pivotField showAll="0">
      <items count="6">
        <item h="1" x="3"/>
        <item h="1" x="2"/>
        <item h="1" x="1"/>
        <item h="1" x="0"/>
        <item x="4"/>
        <item t="default"/>
      </items>
    </pivotField>
    <pivotField numFmtId="2" showAll="0"/>
    <pivotField numFmtId="1" showAll="0"/>
    <pivotField numFmtId="2" showAll="0"/>
    <pivotField showAll="0"/>
    <pivotField showAll="0">
      <items count="11">
        <item x="6"/>
        <item x="9"/>
        <item x="3"/>
        <item x="2"/>
        <item x="4"/>
        <item x="8"/>
        <item x="5"/>
        <item x="0"/>
        <item x="1"/>
        <item x="7"/>
        <item t="default"/>
      </items>
    </pivotField>
    <pivotField axis="axisRow" dataField="1"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4">
        <item x="0"/>
        <item x="2"/>
        <item x="1"/>
        <item t="default"/>
      </items>
    </pivotField>
  </pivotFields>
  <rowFields count="1">
    <field x="9"/>
  </rowFields>
  <rowItems count="6">
    <i>
      <x v="4"/>
    </i>
    <i>
      <x v="1"/>
    </i>
    <i>
      <x v="3"/>
    </i>
    <i>
      <x v="2"/>
    </i>
    <i>
      <x/>
    </i>
    <i t="grand">
      <x/>
    </i>
  </rowItems>
  <colItems count="1">
    <i/>
  </colItems>
  <dataFields count="1">
    <dataField name="Count of Payment Method" fld="9"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4"/>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3135B3-379F-4DBD-A4D3-AC4463816AA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4" firstHeaderRow="1" firstDataRow="1" firstDataCol="1"/>
  <pivotFields count="13">
    <pivotField showAll="0"/>
    <pivotField numFmtId="14" showAll="0"/>
    <pivotField showAll="0"/>
    <pivotField showAll="0">
      <items count="6">
        <item h="1" x="3"/>
        <item h="1" x="2"/>
        <item h="1" x="1"/>
        <item h="1" x="0"/>
        <item x="4"/>
        <item t="default"/>
      </items>
    </pivotField>
    <pivotField numFmtId="2" showAll="0"/>
    <pivotField numFmtId="1" showAll="0"/>
    <pivotField dataField="1" numFmtId="2"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0"/>
        <item x="2"/>
        <item x="1"/>
        <item t="default"/>
      </items>
    </pivotField>
  </pivotFields>
  <rowFields count="1">
    <field x="8"/>
  </rowFields>
  <rowItems count="11">
    <i>
      <x v="2"/>
    </i>
    <i>
      <x v="9"/>
    </i>
    <i>
      <x v="3"/>
    </i>
    <i>
      <x/>
    </i>
    <i>
      <x v="6"/>
    </i>
    <i>
      <x v="4"/>
    </i>
    <i>
      <x v="1"/>
    </i>
    <i>
      <x v="7"/>
    </i>
    <i>
      <x v="5"/>
    </i>
    <i>
      <x v="8"/>
    </i>
    <i t="grand">
      <x/>
    </i>
  </rowItems>
  <colItems count="1">
    <i/>
  </colItems>
  <dataFields count="1">
    <dataField name="Sum of Total Sales" fld="6"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D8631A-7A35-4346-88F6-388D9031727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6" firstHeaderRow="1" firstDataRow="1" firstDataCol="1"/>
  <pivotFields count="13">
    <pivotField showAll="0"/>
    <pivotField numFmtId="14" showAll="0"/>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h="1" x="3"/>
        <item h="1" x="2"/>
        <item h="1" x="1"/>
        <item h="1" x="0"/>
        <item x="4"/>
        <item t="default"/>
      </items>
    </pivotField>
    <pivotField numFmtId="2" showAll="0"/>
    <pivotField numFmtId="1"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2"/>
  </rowFields>
  <rowItems count="3">
    <i>
      <x v="4"/>
    </i>
    <i>
      <x v="9"/>
    </i>
    <i t="grand">
      <x/>
    </i>
  </rowItems>
  <colItems count="1">
    <i/>
  </colItems>
  <dataFields count="1">
    <dataField name="Sum of Total Sales" fld="6"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22803E-80DF-49AE-A636-289A76B50B5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3">
    <pivotField showAll="0"/>
    <pivotField numFmtId="14" showAll="0"/>
    <pivotField showAll="0"/>
    <pivotField axis="axisRow" showAll="0" sortType="descending">
      <items count="6">
        <item h="1" x="3"/>
        <item h="1" x="2"/>
        <item h="1" x="1"/>
        <item h="1" x="0"/>
        <item x="4"/>
        <item t="default"/>
      </items>
      <autoSortScope>
        <pivotArea dataOnly="0" outline="0" fieldPosition="0">
          <references count="1">
            <reference field="4294967294" count="1" selected="0">
              <x v="0"/>
            </reference>
          </references>
        </pivotArea>
      </autoSortScope>
    </pivotField>
    <pivotField numFmtId="2" showAll="0"/>
    <pivotField numFmtId="1"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3"/>
  </rowFields>
  <rowItems count="2">
    <i>
      <x v="4"/>
    </i>
    <i t="grand">
      <x/>
    </i>
  </rowItems>
  <colItems count="1">
    <i/>
  </colItems>
  <dataFields count="1">
    <dataField name="Sum of Total Sales" fld="6"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F92EDC-6810-4751-818E-442CBDED07B1}"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H29" firstHeaderRow="1" firstDataRow="1" firstDataCol="1"/>
  <pivotFields count="13">
    <pivotField showAll="0"/>
    <pivotField numFmtId="14" showAll="0"/>
    <pivotField showAll="0"/>
    <pivotField showAll="0">
      <items count="6">
        <item h="1" x="3"/>
        <item h="1" x="2"/>
        <item h="1" x="1"/>
        <item h="1" x="0"/>
        <item x="4"/>
        <item t="default"/>
      </items>
    </pivotField>
    <pivotField numFmtId="2" showAll="0"/>
    <pivotField numFmtId="1" showAll="0"/>
    <pivotField dataField="1" numFmtId="2" showAll="0"/>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7"/>
  </rowFields>
  <rowItems count="11">
    <i>
      <x v="8"/>
    </i>
    <i>
      <x v="2"/>
    </i>
    <i>
      <x v="5"/>
    </i>
    <i>
      <x v="6"/>
    </i>
    <i>
      <x/>
    </i>
    <i>
      <x v="4"/>
    </i>
    <i>
      <x v="3"/>
    </i>
    <i>
      <x v="9"/>
    </i>
    <i>
      <x v="1"/>
    </i>
    <i>
      <x v="7"/>
    </i>
    <i t="grand">
      <x/>
    </i>
  </rowItems>
  <colItems count="1">
    <i/>
  </colItems>
  <dataFields count="1">
    <dataField name="Sum of Total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B1753E-DB44-45FB-81B7-F1336F42DAAA}" sourceName="Category">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10"/>
    <pivotTable tabId="2" name="PivotTable11"/>
    <pivotTable tabId="2" name="PivotTable9"/>
  </pivotTables>
  <data>
    <tabular pivotCacheId="241320034">
      <items count="5">
        <i x="3"/>
        <i x="2"/>
        <i x="1"/>
        <i x="0"/>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BB3D5BB-F8F5-451D-AF9F-E5BDCF7C4712}" sourceName="Order Status">
  <pivotTables>
    <pivotTable tabId="2" name="PivotTable1"/>
    <pivotTable tabId="2" name="PivotTable2"/>
    <pivotTable tabId="2" name="PivotTable3"/>
    <pivotTable tabId="2" name="PivotTable4"/>
    <pivotTable tabId="2" name="PivotTable5"/>
    <pivotTable tabId="2" name="PivotTable6"/>
    <pivotTable tabId="2" name="PivotTable10"/>
    <pivotTable tabId="2" name="PivotTable11"/>
    <pivotTable tabId="2" name="PivotTable8"/>
    <pivotTable tabId="2" name="PivotTable9"/>
  </pivotTables>
  <data>
    <tabular pivotCacheId="2413200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BA5646-BBDE-428A-A7BD-1CFF46C11BCA}" sourceName="Month">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10"/>
    <pivotTable tabId="2" name="PivotTable11"/>
    <pivotTable tabId="2" name="PivotTable9"/>
  </pivotTables>
  <data>
    <tabular pivotCacheId="241320034">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75C8F8BD-7525-4909-B354-2B38216B7C0E}" sourceName="Customer Location">
  <pivotTables>
    <pivotTable tabId="2" name="PivotTable1"/>
    <pivotTable tabId="2" name="PivotTable2"/>
    <pivotTable tabId="2" name="PivotTable3"/>
    <pivotTable tabId="2" name="PivotTable4"/>
    <pivotTable tabId="2" name="PivotTable5"/>
    <pivotTable tabId="2" name="PivotTable6"/>
    <pivotTable tabId="2" name="PivotTable10"/>
    <pivotTable tabId="2" name="PivotTable11"/>
    <pivotTable tabId="2" name="PivotTable8"/>
    <pivotTable tabId="2" name="PivotTable9"/>
  </pivotTables>
  <data>
    <tabular pivotCacheId="241320034">
      <items count="10">
        <i x="6" s="1"/>
        <i x="9" s="1"/>
        <i x="3" s="1"/>
        <i x="2" s="1"/>
        <i x="4" s="1"/>
        <i x="8" s="1"/>
        <i x="5" s="1"/>
        <i x="0"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9D30679-DEF7-48E7-8343-1BB5970AC4F5}" cache="Slicer_Category" caption="Category" rowHeight="234950"/>
  <slicer name="Order Status" xr10:uid="{C13E6678-6285-492C-A285-0F6858C75284}" cache="Slicer_Order_Status" caption="Order Status" rowHeight="234950"/>
  <slicer name="Month" xr10:uid="{F03ABBC4-5E0F-4812-BCF0-1841848747CC}" cache="Slicer_Month" caption="Month" rowHeight="234950"/>
  <slicer name="Customer Location" xr10:uid="{D4218248-DFC0-4389-BA99-DD36710D9AF2}" cache="Slicer_Customer_Location" caption="Customer Location" startItem="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1C43A-57DD-4A84-B87E-941816797D0F}">
  <dimension ref="A3:K29"/>
  <sheetViews>
    <sheetView topLeftCell="B1" workbookViewId="0">
      <selection activeCell="K16" sqref="K16"/>
    </sheetView>
  </sheetViews>
  <sheetFormatPr defaultRowHeight="14.4" x14ac:dyDescent="0.3"/>
  <cols>
    <col min="1" max="1" width="12.5546875" bestFit="1" customWidth="1"/>
    <col min="2" max="2" width="23.88671875" bestFit="1" customWidth="1"/>
    <col min="4" max="4" width="12.5546875" bestFit="1" customWidth="1"/>
    <col min="5" max="5" width="19.44140625" bestFit="1" customWidth="1"/>
    <col min="7" max="7" width="13.33203125" bestFit="1" customWidth="1"/>
    <col min="8" max="8" width="16.44140625" bestFit="1" customWidth="1"/>
    <col min="10" max="10" width="16.44140625" bestFit="1" customWidth="1"/>
    <col min="11" max="11" width="14.88671875" bestFit="1" customWidth="1"/>
    <col min="12" max="12" width="16.44140625" bestFit="1" customWidth="1"/>
  </cols>
  <sheetData>
    <row r="3" spans="1:11" x14ac:dyDescent="0.3">
      <c r="A3" s="4" t="s">
        <v>306</v>
      </c>
      <c r="B3" t="s">
        <v>308</v>
      </c>
      <c r="D3" s="4" t="s">
        <v>306</v>
      </c>
      <c r="E3" t="s">
        <v>308</v>
      </c>
      <c r="G3" s="4" t="s">
        <v>306</v>
      </c>
      <c r="H3" t="s">
        <v>308</v>
      </c>
    </row>
    <row r="4" spans="1:11" x14ac:dyDescent="0.3">
      <c r="A4" s="5" t="s">
        <v>61</v>
      </c>
      <c r="B4" s="7">
        <v>105000</v>
      </c>
      <c r="D4" s="5" t="s">
        <v>65</v>
      </c>
      <c r="E4" s="7">
        <v>78000</v>
      </c>
      <c r="G4" s="5" t="s">
        <v>30</v>
      </c>
      <c r="H4" s="7">
        <v>19200</v>
      </c>
    </row>
    <row r="5" spans="1:11" x14ac:dyDescent="0.3">
      <c r="A5" s="5" t="s">
        <v>307</v>
      </c>
      <c r="B5" s="7">
        <v>105000</v>
      </c>
      <c r="D5" s="5" t="s">
        <v>60</v>
      </c>
      <c r="E5" s="7">
        <v>27000</v>
      </c>
      <c r="G5" s="5" t="s">
        <v>63</v>
      </c>
      <c r="H5" s="7">
        <v>15600</v>
      </c>
      <c r="K5" t="s">
        <v>308</v>
      </c>
    </row>
    <row r="6" spans="1:11" x14ac:dyDescent="0.3">
      <c r="D6" s="5" t="s">
        <v>307</v>
      </c>
      <c r="E6" s="7">
        <v>105000</v>
      </c>
      <c r="G6" s="5" t="s">
        <v>26</v>
      </c>
      <c r="H6" s="7">
        <v>15000</v>
      </c>
      <c r="K6" s="7">
        <v>105000</v>
      </c>
    </row>
    <row r="7" spans="1:11" x14ac:dyDescent="0.3">
      <c r="G7" s="5" t="s">
        <v>46</v>
      </c>
      <c r="H7" s="7">
        <v>12600</v>
      </c>
    </row>
    <row r="8" spans="1:11" x14ac:dyDescent="0.3">
      <c r="G8" s="5" t="s">
        <v>44</v>
      </c>
      <c r="H8" s="7">
        <v>10200</v>
      </c>
    </row>
    <row r="9" spans="1:11" x14ac:dyDescent="0.3">
      <c r="G9" s="5" t="s">
        <v>38</v>
      </c>
      <c r="H9" s="7">
        <v>9600</v>
      </c>
      <c r="K9" t="s">
        <v>312</v>
      </c>
    </row>
    <row r="10" spans="1:11" x14ac:dyDescent="0.3">
      <c r="G10" s="5" t="s">
        <v>81</v>
      </c>
      <c r="H10" s="7">
        <v>7200</v>
      </c>
      <c r="K10" s="3">
        <v>110</v>
      </c>
    </row>
    <row r="11" spans="1:11" x14ac:dyDescent="0.3">
      <c r="G11" s="5" t="s">
        <v>15</v>
      </c>
      <c r="H11" s="7">
        <v>7200</v>
      </c>
    </row>
    <row r="12" spans="1:11" x14ac:dyDescent="0.3">
      <c r="G12" s="5" t="s">
        <v>68</v>
      </c>
      <c r="H12" s="7">
        <v>6000</v>
      </c>
      <c r="K12" t="s">
        <v>313</v>
      </c>
    </row>
    <row r="13" spans="1:11" x14ac:dyDescent="0.3">
      <c r="G13" s="5" t="s">
        <v>22</v>
      </c>
      <c r="H13" s="7">
        <v>2400</v>
      </c>
      <c r="K13" s="8">
        <v>40</v>
      </c>
    </row>
    <row r="14" spans="1:11" x14ac:dyDescent="0.3">
      <c r="G14" s="5" t="s">
        <v>307</v>
      </c>
      <c r="H14" s="7">
        <v>105000</v>
      </c>
    </row>
    <row r="15" spans="1:11" x14ac:dyDescent="0.3">
      <c r="K15" t="s">
        <v>314</v>
      </c>
    </row>
    <row r="16" spans="1:11" x14ac:dyDescent="0.3">
      <c r="K16" s="9">
        <v>2625</v>
      </c>
    </row>
    <row r="18" spans="1:8" x14ac:dyDescent="0.3">
      <c r="A18" s="4" t="s">
        <v>306</v>
      </c>
      <c r="B18" t="s">
        <v>309</v>
      </c>
      <c r="D18" s="4" t="s">
        <v>306</v>
      </c>
      <c r="E18" t="s">
        <v>311</v>
      </c>
      <c r="G18" s="4" t="s">
        <v>306</v>
      </c>
      <c r="H18" t="s">
        <v>308</v>
      </c>
    </row>
    <row r="19" spans="1:8" x14ac:dyDescent="0.3">
      <c r="A19" s="5" t="s">
        <v>39</v>
      </c>
      <c r="B19" s="8">
        <v>13</v>
      </c>
      <c r="D19" s="5" t="s">
        <v>17</v>
      </c>
      <c r="E19" s="6">
        <v>0.4</v>
      </c>
      <c r="G19" s="5" t="s">
        <v>29</v>
      </c>
      <c r="H19" s="7">
        <v>16800</v>
      </c>
    </row>
    <row r="20" spans="1:8" x14ac:dyDescent="0.3">
      <c r="A20" s="5" t="s">
        <v>31</v>
      </c>
      <c r="B20" s="8">
        <v>10</v>
      </c>
      <c r="D20" s="5" t="s">
        <v>310</v>
      </c>
      <c r="E20" s="6">
        <v>0.32500000000000001</v>
      </c>
      <c r="G20" s="5" t="s">
        <v>51</v>
      </c>
      <c r="H20" s="7">
        <v>15600</v>
      </c>
    </row>
    <row r="21" spans="1:8" x14ac:dyDescent="0.3">
      <c r="A21" s="5" t="s">
        <v>58</v>
      </c>
      <c r="B21" s="8">
        <v>9</v>
      </c>
      <c r="D21" s="5" t="s">
        <v>23</v>
      </c>
      <c r="E21" s="6">
        <v>0.27500000000000002</v>
      </c>
      <c r="G21" s="5" t="s">
        <v>80</v>
      </c>
      <c r="H21" s="7">
        <v>12600</v>
      </c>
    </row>
    <row r="22" spans="1:8" x14ac:dyDescent="0.3">
      <c r="A22" s="5" t="s">
        <v>16</v>
      </c>
      <c r="B22" s="8">
        <v>5</v>
      </c>
      <c r="D22" s="5" t="s">
        <v>307</v>
      </c>
      <c r="E22" s="6">
        <v>1</v>
      </c>
      <c r="G22" s="5" t="s">
        <v>25</v>
      </c>
      <c r="H22" s="7">
        <v>11400</v>
      </c>
    </row>
    <row r="23" spans="1:8" x14ac:dyDescent="0.3">
      <c r="A23" s="5" t="s">
        <v>27</v>
      </c>
      <c r="B23" s="8">
        <v>3</v>
      </c>
      <c r="G23" s="5" t="s">
        <v>72</v>
      </c>
      <c r="H23" s="7">
        <v>9600</v>
      </c>
    </row>
    <row r="24" spans="1:8" x14ac:dyDescent="0.3">
      <c r="A24" s="5" t="s">
        <v>307</v>
      </c>
      <c r="B24" s="8">
        <v>40</v>
      </c>
      <c r="G24" s="5" t="s">
        <v>14</v>
      </c>
      <c r="H24" s="7">
        <v>9600</v>
      </c>
    </row>
    <row r="25" spans="1:8" x14ac:dyDescent="0.3">
      <c r="G25" s="5" t="s">
        <v>21</v>
      </c>
      <c r="H25" s="7">
        <v>7800</v>
      </c>
    </row>
    <row r="26" spans="1:8" x14ac:dyDescent="0.3">
      <c r="G26" s="5" t="s">
        <v>43</v>
      </c>
      <c r="H26" s="7">
        <v>7200</v>
      </c>
    </row>
    <row r="27" spans="1:8" x14ac:dyDescent="0.3">
      <c r="G27" s="5" t="s">
        <v>57</v>
      </c>
      <c r="H27" s="7">
        <v>7200</v>
      </c>
    </row>
    <row r="28" spans="1:8" x14ac:dyDescent="0.3">
      <c r="G28" s="5" t="s">
        <v>54</v>
      </c>
      <c r="H28" s="7">
        <v>7200</v>
      </c>
    </row>
    <row r="29" spans="1:8" x14ac:dyDescent="0.3">
      <c r="G29" s="5" t="s">
        <v>307</v>
      </c>
      <c r="H29" s="7">
        <v>105000</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7A2A-7123-4AFB-AB56-558C57B30C8B}">
  <dimension ref="X11:Z19"/>
  <sheetViews>
    <sheetView showGridLines="0" showRowColHeaders="0" tabSelected="1" zoomScale="67" workbookViewId="0">
      <selection activeCell="Y23" sqref="Y23"/>
    </sheetView>
  </sheetViews>
  <sheetFormatPr defaultRowHeight="14.4" x14ac:dyDescent="0.3"/>
  <cols>
    <col min="24" max="25" width="9.77734375" bestFit="1" customWidth="1"/>
  </cols>
  <sheetData>
    <row r="11" spans="24:24" x14ac:dyDescent="0.3">
      <c r="X11" s="2"/>
    </row>
    <row r="19" spans="26:26" x14ac:dyDescent="0.3">
      <c r="Z19"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019D-9251-4795-873F-0C0AB75FB660}">
  <dimension ref="A1:O251"/>
  <sheetViews>
    <sheetView zoomScale="78" workbookViewId="0">
      <selection activeCell="F21" sqref="A1:M251"/>
    </sheetView>
  </sheetViews>
  <sheetFormatPr defaultRowHeight="14.4" x14ac:dyDescent="0.3"/>
  <cols>
    <col min="2" max="2" width="14.21875" style="1" customWidth="1"/>
    <col min="3" max="3" width="20.33203125" customWidth="1"/>
    <col min="5" max="5" width="8.88671875" style="2"/>
    <col min="6" max="6" width="8.88671875" style="3"/>
    <col min="7" max="7" width="12.44140625" style="2" customWidth="1"/>
    <col min="8" max="8" width="17.109375" customWidth="1"/>
    <col min="9" max="9" width="17.88671875" customWidth="1"/>
    <col min="10" max="10" width="18.44140625" customWidth="1"/>
    <col min="11" max="11" width="15" customWidth="1"/>
    <col min="13" max="13" width="11.109375" bestFit="1" customWidth="1"/>
    <col min="15" max="15" width="9.5546875" bestFit="1" customWidth="1"/>
  </cols>
  <sheetData>
    <row r="1" spans="1:15" x14ac:dyDescent="0.3">
      <c r="A1" t="s">
        <v>0</v>
      </c>
      <c r="B1" s="1" t="s">
        <v>1</v>
      </c>
      <c r="C1" t="s">
        <v>2</v>
      </c>
      <c r="D1" t="s">
        <v>3</v>
      </c>
      <c r="E1" s="2" t="s">
        <v>4</v>
      </c>
      <c r="F1" s="3" t="s">
        <v>5</v>
      </c>
      <c r="G1" s="2" t="s">
        <v>6</v>
      </c>
      <c r="H1" t="s">
        <v>7</v>
      </c>
      <c r="I1" t="s">
        <v>8</v>
      </c>
      <c r="J1" t="s">
        <v>9</v>
      </c>
      <c r="K1" t="s">
        <v>10</v>
      </c>
      <c r="L1" t="s">
        <v>304</v>
      </c>
      <c r="M1" t="s">
        <v>305</v>
      </c>
    </row>
    <row r="2" spans="1:15" x14ac:dyDescent="0.3">
      <c r="A2" t="s">
        <v>11</v>
      </c>
      <c r="B2" s="1">
        <v>45730</v>
      </c>
      <c r="C2" t="s">
        <v>12</v>
      </c>
      <c r="D2" t="s">
        <v>13</v>
      </c>
      <c r="E2" s="2">
        <v>60</v>
      </c>
      <c r="F2" s="3">
        <v>3</v>
      </c>
      <c r="G2" s="2">
        <v>180</v>
      </c>
      <c r="H2" t="s">
        <v>14</v>
      </c>
      <c r="I2" t="s">
        <v>15</v>
      </c>
      <c r="J2" t="s">
        <v>16</v>
      </c>
      <c r="K2" t="s">
        <v>17</v>
      </c>
      <c r="L2" t="str">
        <f>TEXT(B2,"MMM")</f>
        <v>Mar</v>
      </c>
      <c r="M2" t="str">
        <f>IF(K2="Completed","Delivered",K2)</f>
        <v>Cancelled</v>
      </c>
    </row>
    <row r="3" spans="1:15" x14ac:dyDescent="0.3">
      <c r="A3" t="s">
        <v>18</v>
      </c>
      <c r="B3" s="1">
        <v>45736</v>
      </c>
      <c r="C3" t="s">
        <v>19</v>
      </c>
      <c r="D3" t="s">
        <v>20</v>
      </c>
      <c r="E3" s="2">
        <v>100</v>
      </c>
      <c r="F3" s="3">
        <v>4</v>
      </c>
      <c r="G3" s="2">
        <v>400</v>
      </c>
      <c r="H3" t="s">
        <v>21</v>
      </c>
      <c r="I3" t="s">
        <v>22</v>
      </c>
      <c r="J3" t="s">
        <v>16</v>
      </c>
      <c r="K3" t="s">
        <v>23</v>
      </c>
      <c r="L3" t="str">
        <f t="shared" ref="L3:L66" si="0">TEXT(B3,"MMM")</f>
        <v>Mar</v>
      </c>
      <c r="M3" t="str">
        <f t="shared" ref="M3:M66" si="1">IF(K3="Completed","Delivered",K3)</f>
        <v>Pending</v>
      </c>
    </row>
    <row r="4" spans="1:15" x14ac:dyDescent="0.3">
      <c r="A4" t="s">
        <v>24</v>
      </c>
      <c r="B4" s="1">
        <v>45703</v>
      </c>
      <c r="C4" t="s">
        <v>12</v>
      </c>
      <c r="D4" t="s">
        <v>13</v>
      </c>
      <c r="E4" s="2">
        <v>60</v>
      </c>
      <c r="F4" s="3">
        <v>2</v>
      </c>
      <c r="G4" s="2">
        <v>120</v>
      </c>
      <c r="H4" t="s">
        <v>25</v>
      </c>
      <c r="I4" t="s">
        <v>26</v>
      </c>
      <c r="J4" t="s">
        <v>27</v>
      </c>
      <c r="K4" t="s">
        <v>17</v>
      </c>
      <c r="L4" t="str">
        <f t="shared" si="0"/>
        <v>Feb</v>
      </c>
      <c r="M4" t="str">
        <f t="shared" si="1"/>
        <v>Cancelled</v>
      </c>
    </row>
    <row r="5" spans="1:15" x14ac:dyDescent="0.3">
      <c r="A5" t="s">
        <v>28</v>
      </c>
      <c r="B5" s="1">
        <v>45707</v>
      </c>
      <c r="C5" t="s">
        <v>12</v>
      </c>
      <c r="D5" t="s">
        <v>13</v>
      </c>
      <c r="E5" s="2">
        <v>60</v>
      </c>
      <c r="F5" s="3">
        <v>3</v>
      </c>
      <c r="G5" s="2">
        <v>180</v>
      </c>
      <c r="H5" t="s">
        <v>29</v>
      </c>
      <c r="I5" t="s">
        <v>30</v>
      </c>
      <c r="J5" t="s">
        <v>31</v>
      </c>
      <c r="K5" t="s">
        <v>23</v>
      </c>
      <c r="L5" t="str">
        <f t="shared" si="0"/>
        <v>Feb</v>
      </c>
      <c r="M5" t="str">
        <f t="shared" si="1"/>
        <v>Pending</v>
      </c>
      <c r="O5" s="7"/>
    </row>
    <row r="6" spans="1:15" x14ac:dyDescent="0.3">
      <c r="A6" t="s">
        <v>32</v>
      </c>
      <c r="B6" s="1">
        <v>45726</v>
      </c>
      <c r="C6" t="s">
        <v>33</v>
      </c>
      <c r="D6" t="s">
        <v>20</v>
      </c>
      <c r="E6" s="2">
        <v>150</v>
      </c>
      <c r="F6" s="3">
        <v>3</v>
      </c>
      <c r="G6" s="2">
        <v>450</v>
      </c>
      <c r="H6" t="s">
        <v>14</v>
      </c>
      <c r="I6" t="s">
        <v>15</v>
      </c>
      <c r="J6" t="s">
        <v>16</v>
      </c>
      <c r="K6" t="s">
        <v>23</v>
      </c>
      <c r="L6" t="str">
        <f t="shared" si="0"/>
        <v>Mar</v>
      </c>
      <c r="M6" t="str">
        <f t="shared" si="1"/>
        <v>Pending</v>
      </c>
    </row>
    <row r="7" spans="1:15" x14ac:dyDescent="0.3">
      <c r="A7" t="s">
        <v>34</v>
      </c>
      <c r="B7" s="1">
        <v>45730</v>
      </c>
      <c r="C7" t="s">
        <v>35</v>
      </c>
      <c r="D7" t="s">
        <v>36</v>
      </c>
      <c r="E7" s="2">
        <v>20</v>
      </c>
      <c r="F7" s="3">
        <v>1</v>
      </c>
      <c r="G7" s="2">
        <v>20</v>
      </c>
      <c r="H7" t="s">
        <v>25</v>
      </c>
      <c r="I7" t="s">
        <v>30</v>
      </c>
      <c r="J7" t="s">
        <v>31</v>
      </c>
      <c r="K7" t="s">
        <v>23</v>
      </c>
      <c r="L7" t="str">
        <f t="shared" si="0"/>
        <v>Mar</v>
      </c>
      <c r="M7" t="str">
        <f t="shared" si="1"/>
        <v>Pending</v>
      </c>
    </row>
    <row r="8" spans="1:15" x14ac:dyDescent="0.3">
      <c r="A8" t="s">
        <v>37</v>
      </c>
      <c r="B8" s="1">
        <v>45734</v>
      </c>
      <c r="C8" t="s">
        <v>33</v>
      </c>
      <c r="D8" t="s">
        <v>20</v>
      </c>
      <c r="E8" s="2">
        <v>150</v>
      </c>
      <c r="F8" s="3">
        <v>4</v>
      </c>
      <c r="G8" s="2">
        <v>600</v>
      </c>
      <c r="H8" t="s">
        <v>14</v>
      </c>
      <c r="I8" t="s">
        <v>38</v>
      </c>
      <c r="J8" t="s">
        <v>39</v>
      </c>
      <c r="K8" t="s">
        <v>40</v>
      </c>
      <c r="L8" t="str">
        <f t="shared" si="0"/>
        <v>Mar</v>
      </c>
      <c r="M8" t="str">
        <f t="shared" si="1"/>
        <v>Delivered</v>
      </c>
    </row>
    <row r="9" spans="1:15" x14ac:dyDescent="0.3">
      <c r="A9" t="s">
        <v>41</v>
      </c>
      <c r="B9" s="1">
        <v>45718</v>
      </c>
      <c r="C9" t="s">
        <v>42</v>
      </c>
      <c r="D9" t="s">
        <v>20</v>
      </c>
      <c r="E9" s="2">
        <v>500</v>
      </c>
      <c r="F9" s="3">
        <v>1</v>
      </c>
      <c r="G9" s="2">
        <v>500</v>
      </c>
      <c r="H9" t="s">
        <v>43</v>
      </c>
      <c r="I9" t="s">
        <v>44</v>
      </c>
      <c r="J9" t="s">
        <v>39</v>
      </c>
      <c r="K9" t="s">
        <v>40</v>
      </c>
      <c r="L9" t="str">
        <f t="shared" si="0"/>
        <v>Mar</v>
      </c>
      <c r="M9" t="str">
        <f t="shared" si="1"/>
        <v>Delivered</v>
      </c>
    </row>
    <row r="10" spans="1:15" x14ac:dyDescent="0.3">
      <c r="A10" t="s">
        <v>45</v>
      </c>
      <c r="B10" s="1">
        <v>45724</v>
      </c>
      <c r="C10" t="s">
        <v>35</v>
      </c>
      <c r="D10" t="s">
        <v>36</v>
      </c>
      <c r="E10" s="2">
        <v>20</v>
      </c>
      <c r="F10" s="3">
        <v>3</v>
      </c>
      <c r="G10" s="2">
        <v>60</v>
      </c>
      <c r="H10" t="s">
        <v>43</v>
      </c>
      <c r="I10" t="s">
        <v>46</v>
      </c>
      <c r="J10" t="s">
        <v>39</v>
      </c>
      <c r="K10" t="s">
        <v>40</v>
      </c>
      <c r="L10" t="str">
        <f t="shared" si="0"/>
        <v>Mar</v>
      </c>
      <c r="M10" t="str">
        <f t="shared" si="1"/>
        <v>Delivered</v>
      </c>
    </row>
    <row r="11" spans="1:15" x14ac:dyDescent="0.3">
      <c r="A11" t="s">
        <v>47</v>
      </c>
      <c r="B11" s="1">
        <v>45728</v>
      </c>
      <c r="C11" t="s">
        <v>42</v>
      </c>
      <c r="D11" t="s">
        <v>20</v>
      </c>
      <c r="E11" s="2">
        <v>500</v>
      </c>
      <c r="F11" s="3">
        <v>1</v>
      </c>
      <c r="G11" s="2">
        <v>500</v>
      </c>
      <c r="H11" t="s">
        <v>21</v>
      </c>
      <c r="I11" t="s">
        <v>22</v>
      </c>
      <c r="J11" t="s">
        <v>31</v>
      </c>
      <c r="K11" t="s">
        <v>17</v>
      </c>
      <c r="L11" t="str">
        <f t="shared" si="0"/>
        <v>Mar</v>
      </c>
      <c r="M11" t="str">
        <f t="shared" si="1"/>
        <v>Cancelled</v>
      </c>
    </row>
    <row r="12" spans="1:15" x14ac:dyDescent="0.3">
      <c r="A12" t="s">
        <v>48</v>
      </c>
      <c r="B12" s="1">
        <v>45705</v>
      </c>
      <c r="C12" t="s">
        <v>49</v>
      </c>
      <c r="D12" t="s">
        <v>50</v>
      </c>
      <c r="E12" s="2">
        <v>15</v>
      </c>
      <c r="F12" s="3">
        <v>2</v>
      </c>
      <c r="G12" s="2">
        <v>30</v>
      </c>
      <c r="H12" t="s">
        <v>51</v>
      </c>
      <c r="I12" t="s">
        <v>46</v>
      </c>
      <c r="J12" t="s">
        <v>27</v>
      </c>
      <c r="K12" t="s">
        <v>23</v>
      </c>
      <c r="L12" t="str">
        <f t="shared" si="0"/>
        <v>Feb</v>
      </c>
      <c r="M12" t="str">
        <f t="shared" si="1"/>
        <v>Pending</v>
      </c>
    </row>
    <row r="13" spans="1:15" x14ac:dyDescent="0.3">
      <c r="A13" t="s">
        <v>52</v>
      </c>
      <c r="B13" s="1">
        <v>45729</v>
      </c>
      <c r="C13" t="s">
        <v>53</v>
      </c>
      <c r="D13" t="s">
        <v>36</v>
      </c>
      <c r="E13" s="2">
        <v>40</v>
      </c>
      <c r="F13" s="3">
        <v>4</v>
      </c>
      <c r="G13" s="2">
        <v>160</v>
      </c>
      <c r="H13" t="s">
        <v>54</v>
      </c>
      <c r="I13" t="s">
        <v>30</v>
      </c>
      <c r="J13" t="s">
        <v>31</v>
      </c>
      <c r="K13" t="s">
        <v>40</v>
      </c>
      <c r="L13" t="str">
        <f t="shared" si="0"/>
        <v>Mar</v>
      </c>
      <c r="M13" t="str">
        <f t="shared" si="1"/>
        <v>Delivered</v>
      </c>
    </row>
    <row r="14" spans="1:15" x14ac:dyDescent="0.3">
      <c r="A14" t="s">
        <v>55</v>
      </c>
      <c r="B14" s="1">
        <v>45717</v>
      </c>
      <c r="C14" t="s">
        <v>56</v>
      </c>
      <c r="D14" t="s">
        <v>20</v>
      </c>
      <c r="E14" s="2">
        <v>800</v>
      </c>
      <c r="F14" s="3">
        <v>2</v>
      </c>
      <c r="G14" s="2">
        <v>1600</v>
      </c>
      <c r="H14" t="s">
        <v>57</v>
      </c>
      <c r="I14" t="s">
        <v>22</v>
      </c>
      <c r="J14" t="s">
        <v>58</v>
      </c>
      <c r="K14" t="s">
        <v>23</v>
      </c>
      <c r="L14" t="str">
        <f t="shared" si="0"/>
        <v>Mar</v>
      </c>
      <c r="M14" t="str">
        <f t="shared" si="1"/>
        <v>Pending</v>
      </c>
    </row>
    <row r="15" spans="1:15" x14ac:dyDescent="0.3">
      <c r="A15" t="s">
        <v>59</v>
      </c>
      <c r="B15" s="1">
        <v>45720</v>
      </c>
      <c r="C15" t="s">
        <v>60</v>
      </c>
      <c r="D15" t="s">
        <v>61</v>
      </c>
      <c r="E15" s="2">
        <v>600</v>
      </c>
      <c r="F15" s="3">
        <v>3</v>
      </c>
      <c r="G15" s="2">
        <v>1800</v>
      </c>
      <c r="H15" t="s">
        <v>54</v>
      </c>
      <c r="I15" t="s">
        <v>44</v>
      </c>
      <c r="J15" t="s">
        <v>31</v>
      </c>
      <c r="K15" t="s">
        <v>17</v>
      </c>
      <c r="L15" t="str">
        <f t="shared" si="0"/>
        <v>Mar</v>
      </c>
      <c r="M15" t="str">
        <f t="shared" si="1"/>
        <v>Cancelled</v>
      </c>
    </row>
    <row r="16" spans="1:15" x14ac:dyDescent="0.3">
      <c r="A16" t="s">
        <v>62</v>
      </c>
      <c r="B16" s="1">
        <v>45708</v>
      </c>
      <c r="C16" t="s">
        <v>33</v>
      </c>
      <c r="D16" t="s">
        <v>20</v>
      </c>
      <c r="E16" s="2">
        <v>150</v>
      </c>
      <c r="F16" s="3">
        <v>4</v>
      </c>
      <c r="G16" s="2">
        <v>600</v>
      </c>
      <c r="H16" t="s">
        <v>25</v>
      </c>
      <c r="I16" t="s">
        <v>63</v>
      </c>
      <c r="J16" t="s">
        <v>31</v>
      </c>
      <c r="K16" t="s">
        <v>40</v>
      </c>
      <c r="L16" t="str">
        <f t="shared" si="0"/>
        <v>Feb</v>
      </c>
      <c r="M16" t="str">
        <f t="shared" si="1"/>
        <v>Delivered</v>
      </c>
    </row>
    <row r="17" spans="1:13" x14ac:dyDescent="0.3">
      <c r="A17" t="s">
        <v>64</v>
      </c>
      <c r="B17" s="1">
        <v>45714</v>
      </c>
      <c r="C17" t="s">
        <v>65</v>
      </c>
      <c r="D17" t="s">
        <v>61</v>
      </c>
      <c r="E17" s="2">
        <v>1200</v>
      </c>
      <c r="F17" s="3">
        <v>1</v>
      </c>
      <c r="G17" s="2">
        <v>1200</v>
      </c>
      <c r="H17" t="s">
        <v>25</v>
      </c>
      <c r="I17" t="s">
        <v>46</v>
      </c>
      <c r="J17" t="s">
        <v>31</v>
      </c>
      <c r="K17" t="s">
        <v>17</v>
      </c>
      <c r="L17" t="str">
        <f t="shared" si="0"/>
        <v>Feb</v>
      </c>
      <c r="M17" t="str">
        <f t="shared" si="1"/>
        <v>Cancelled</v>
      </c>
    </row>
    <row r="18" spans="1:13" x14ac:dyDescent="0.3">
      <c r="A18" t="s">
        <v>66</v>
      </c>
      <c r="B18" s="1">
        <v>45748</v>
      </c>
      <c r="C18" t="s">
        <v>35</v>
      </c>
      <c r="D18" t="s">
        <v>36</v>
      </c>
      <c r="E18" s="2">
        <v>20</v>
      </c>
      <c r="F18" s="3">
        <v>1</v>
      </c>
      <c r="G18" s="2">
        <v>20</v>
      </c>
      <c r="H18" t="s">
        <v>14</v>
      </c>
      <c r="I18" t="s">
        <v>15</v>
      </c>
      <c r="J18" t="s">
        <v>27</v>
      </c>
      <c r="K18" t="s">
        <v>40</v>
      </c>
      <c r="L18" t="str">
        <f t="shared" si="0"/>
        <v>Apr</v>
      </c>
      <c r="M18" t="str">
        <f t="shared" si="1"/>
        <v>Delivered</v>
      </c>
    </row>
    <row r="19" spans="1:13" x14ac:dyDescent="0.3">
      <c r="A19" t="s">
        <v>67</v>
      </c>
      <c r="B19" s="1">
        <v>45698</v>
      </c>
      <c r="C19" t="s">
        <v>42</v>
      </c>
      <c r="D19" t="s">
        <v>20</v>
      </c>
      <c r="E19" s="2">
        <v>500</v>
      </c>
      <c r="F19" s="3">
        <v>2</v>
      </c>
      <c r="G19" s="2">
        <v>1000</v>
      </c>
      <c r="H19" t="s">
        <v>54</v>
      </c>
      <c r="I19" t="s">
        <v>68</v>
      </c>
      <c r="J19" t="s">
        <v>27</v>
      </c>
      <c r="K19" t="s">
        <v>40</v>
      </c>
      <c r="L19" t="str">
        <f t="shared" si="0"/>
        <v>Feb</v>
      </c>
      <c r="M19" t="str">
        <f t="shared" si="1"/>
        <v>Delivered</v>
      </c>
    </row>
    <row r="20" spans="1:13" x14ac:dyDescent="0.3">
      <c r="A20" t="s">
        <v>69</v>
      </c>
      <c r="B20" s="1">
        <v>45738</v>
      </c>
      <c r="C20" t="s">
        <v>12</v>
      </c>
      <c r="D20" t="s">
        <v>13</v>
      </c>
      <c r="E20" s="2">
        <v>60</v>
      </c>
      <c r="F20" s="3">
        <v>3</v>
      </c>
      <c r="G20" s="2">
        <v>180</v>
      </c>
      <c r="H20" t="s">
        <v>29</v>
      </c>
      <c r="I20" t="s">
        <v>38</v>
      </c>
      <c r="J20" t="s">
        <v>31</v>
      </c>
      <c r="K20" t="s">
        <v>40</v>
      </c>
      <c r="L20" t="str">
        <f t="shared" si="0"/>
        <v>Mar</v>
      </c>
      <c r="M20" t="str">
        <f t="shared" si="1"/>
        <v>Delivered</v>
      </c>
    </row>
    <row r="21" spans="1:13" x14ac:dyDescent="0.3">
      <c r="A21" t="s">
        <v>70</v>
      </c>
      <c r="B21" s="1">
        <v>45723</v>
      </c>
      <c r="C21" t="s">
        <v>19</v>
      </c>
      <c r="D21" t="s">
        <v>20</v>
      </c>
      <c r="E21" s="2">
        <v>100</v>
      </c>
      <c r="F21" s="3">
        <v>4</v>
      </c>
      <c r="G21" s="2">
        <v>400</v>
      </c>
      <c r="H21" t="s">
        <v>29</v>
      </c>
      <c r="I21" t="s">
        <v>63</v>
      </c>
      <c r="J21" t="s">
        <v>16</v>
      </c>
      <c r="K21" t="s">
        <v>23</v>
      </c>
      <c r="L21" t="str">
        <f t="shared" si="0"/>
        <v>Mar</v>
      </c>
      <c r="M21" t="str">
        <f t="shared" si="1"/>
        <v>Pending</v>
      </c>
    </row>
    <row r="22" spans="1:13" x14ac:dyDescent="0.3">
      <c r="A22" t="s">
        <v>71</v>
      </c>
      <c r="B22" s="1">
        <v>45693</v>
      </c>
      <c r="C22" t="s">
        <v>19</v>
      </c>
      <c r="D22" t="s">
        <v>20</v>
      </c>
      <c r="E22" s="2">
        <v>100</v>
      </c>
      <c r="F22" s="3">
        <v>3</v>
      </c>
      <c r="G22" s="2">
        <v>300</v>
      </c>
      <c r="H22" t="s">
        <v>72</v>
      </c>
      <c r="I22" t="s">
        <v>44</v>
      </c>
      <c r="J22" t="s">
        <v>16</v>
      </c>
      <c r="K22" t="s">
        <v>17</v>
      </c>
      <c r="L22" t="str">
        <f t="shared" si="0"/>
        <v>Feb</v>
      </c>
      <c r="M22" t="str">
        <f t="shared" si="1"/>
        <v>Cancelled</v>
      </c>
    </row>
    <row r="23" spans="1:13" x14ac:dyDescent="0.3">
      <c r="A23" t="s">
        <v>73</v>
      </c>
      <c r="B23" s="1">
        <v>45723</v>
      </c>
      <c r="C23" t="s">
        <v>65</v>
      </c>
      <c r="D23" t="s">
        <v>61</v>
      </c>
      <c r="E23" s="2">
        <v>1200</v>
      </c>
      <c r="F23" s="3">
        <v>4</v>
      </c>
      <c r="G23" s="2">
        <v>4800</v>
      </c>
      <c r="H23" t="s">
        <v>29</v>
      </c>
      <c r="I23" t="s">
        <v>38</v>
      </c>
      <c r="J23" t="s">
        <v>31</v>
      </c>
      <c r="K23" t="s">
        <v>23</v>
      </c>
      <c r="L23" t="str">
        <f t="shared" si="0"/>
        <v>Mar</v>
      </c>
      <c r="M23" t="str">
        <f t="shared" si="1"/>
        <v>Pending</v>
      </c>
    </row>
    <row r="24" spans="1:13" x14ac:dyDescent="0.3">
      <c r="A24" t="s">
        <v>74</v>
      </c>
      <c r="B24" s="1">
        <v>45711</v>
      </c>
      <c r="C24" t="s">
        <v>49</v>
      </c>
      <c r="D24" t="s">
        <v>50</v>
      </c>
      <c r="E24" s="2">
        <v>15</v>
      </c>
      <c r="F24" s="3">
        <v>1</v>
      </c>
      <c r="G24" s="2">
        <v>15</v>
      </c>
      <c r="H24" t="s">
        <v>14</v>
      </c>
      <c r="I24" t="s">
        <v>38</v>
      </c>
      <c r="J24" t="s">
        <v>31</v>
      </c>
      <c r="K24" t="s">
        <v>23</v>
      </c>
      <c r="L24" t="str">
        <f t="shared" si="0"/>
        <v>Feb</v>
      </c>
      <c r="M24" t="str">
        <f t="shared" si="1"/>
        <v>Pending</v>
      </c>
    </row>
    <row r="25" spans="1:13" x14ac:dyDescent="0.3">
      <c r="A25" t="s">
        <v>75</v>
      </c>
      <c r="B25" s="1">
        <v>45740</v>
      </c>
      <c r="C25" t="s">
        <v>65</v>
      </c>
      <c r="D25" t="s">
        <v>61</v>
      </c>
      <c r="E25" s="2">
        <v>1200</v>
      </c>
      <c r="F25" s="3">
        <v>3</v>
      </c>
      <c r="G25" s="2">
        <v>3600</v>
      </c>
      <c r="H25" t="s">
        <v>72</v>
      </c>
      <c r="I25" t="s">
        <v>30</v>
      </c>
      <c r="J25" t="s">
        <v>31</v>
      </c>
      <c r="K25" t="s">
        <v>17</v>
      </c>
      <c r="L25" t="str">
        <f t="shared" si="0"/>
        <v>Mar</v>
      </c>
      <c r="M25" t="str">
        <f t="shared" si="1"/>
        <v>Cancelled</v>
      </c>
    </row>
    <row r="26" spans="1:13" x14ac:dyDescent="0.3">
      <c r="A26" t="s">
        <v>76</v>
      </c>
      <c r="B26" s="1">
        <v>45718</v>
      </c>
      <c r="C26" t="s">
        <v>49</v>
      </c>
      <c r="D26" t="s">
        <v>50</v>
      </c>
      <c r="E26" s="2">
        <v>15</v>
      </c>
      <c r="F26" s="3">
        <v>5</v>
      </c>
      <c r="G26" s="2">
        <v>75</v>
      </c>
      <c r="H26" t="s">
        <v>43</v>
      </c>
      <c r="I26" t="s">
        <v>63</v>
      </c>
      <c r="J26" t="s">
        <v>27</v>
      </c>
      <c r="K26" t="s">
        <v>40</v>
      </c>
      <c r="L26" t="str">
        <f t="shared" si="0"/>
        <v>Mar</v>
      </c>
      <c r="M26" t="str">
        <f t="shared" si="1"/>
        <v>Delivered</v>
      </c>
    </row>
    <row r="27" spans="1:13" x14ac:dyDescent="0.3">
      <c r="A27" t="s">
        <v>77</v>
      </c>
      <c r="B27" s="1">
        <v>45702</v>
      </c>
      <c r="C27" t="s">
        <v>60</v>
      </c>
      <c r="D27" t="s">
        <v>61</v>
      </c>
      <c r="E27" s="2">
        <v>600</v>
      </c>
      <c r="F27" s="3">
        <v>1</v>
      </c>
      <c r="G27" s="2">
        <v>600</v>
      </c>
      <c r="H27" t="s">
        <v>29</v>
      </c>
      <c r="I27" t="s">
        <v>46</v>
      </c>
      <c r="J27" t="s">
        <v>16</v>
      </c>
      <c r="K27" t="s">
        <v>17</v>
      </c>
      <c r="L27" t="str">
        <f t="shared" si="0"/>
        <v>Feb</v>
      </c>
      <c r="M27" t="str">
        <f t="shared" si="1"/>
        <v>Cancelled</v>
      </c>
    </row>
    <row r="28" spans="1:13" x14ac:dyDescent="0.3">
      <c r="A28" t="s">
        <v>78</v>
      </c>
      <c r="B28" s="1">
        <v>45695</v>
      </c>
      <c r="C28" t="s">
        <v>35</v>
      </c>
      <c r="D28" t="s">
        <v>36</v>
      </c>
      <c r="E28" s="2">
        <v>20</v>
      </c>
      <c r="F28" s="3">
        <v>1</v>
      </c>
      <c r="G28" s="2">
        <v>20</v>
      </c>
      <c r="H28" t="s">
        <v>57</v>
      </c>
      <c r="I28" t="s">
        <v>15</v>
      </c>
      <c r="J28" t="s">
        <v>27</v>
      </c>
      <c r="K28" t="s">
        <v>23</v>
      </c>
      <c r="L28" t="str">
        <f t="shared" si="0"/>
        <v>Feb</v>
      </c>
      <c r="M28" t="str">
        <f t="shared" si="1"/>
        <v>Pending</v>
      </c>
    </row>
    <row r="29" spans="1:13" x14ac:dyDescent="0.3">
      <c r="A29" t="s">
        <v>79</v>
      </c>
      <c r="B29" s="1">
        <v>45691</v>
      </c>
      <c r="C29" t="s">
        <v>19</v>
      </c>
      <c r="D29" t="s">
        <v>20</v>
      </c>
      <c r="E29" s="2">
        <v>100</v>
      </c>
      <c r="F29" s="3">
        <v>1</v>
      </c>
      <c r="G29" s="2">
        <v>100</v>
      </c>
      <c r="H29" t="s">
        <v>80</v>
      </c>
      <c r="I29" t="s">
        <v>81</v>
      </c>
      <c r="J29" t="s">
        <v>27</v>
      </c>
      <c r="K29" t="s">
        <v>40</v>
      </c>
      <c r="L29" t="str">
        <f t="shared" si="0"/>
        <v>Feb</v>
      </c>
      <c r="M29" t="str">
        <f t="shared" si="1"/>
        <v>Delivered</v>
      </c>
    </row>
    <row r="30" spans="1:13" x14ac:dyDescent="0.3">
      <c r="A30" t="s">
        <v>82</v>
      </c>
      <c r="B30" s="1">
        <v>45700</v>
      </c>
      <c r="C30" t="s">
        <v>42</v>
      </c>
      <c r="D30" t="s">
        <v>20</v>
      </c>
      <c r="E30" s="2">
        <v>500</v>
      </c>
      <c r="F30" s="3">
        <v>1</v>
      </c>
      <c r="G30" s="2">
        <v>500</v>
      </c>
      <c r="H30" t="s">
        <v>43</v>
      </c>
      <c r="I30" t="s">
        <v>26</v>
      </c>
      <c r="J30" t="s">
        <v>31</v>
      </c>
      <c r="K30" t="s">
        <v>17</v>
      </c>
      <c r="L30" t="str">
        <f t="shared" si="0"/>
        <v>Feb</v>
      </c>
      <c r="M30" t="str">
        <f t="shared" si="1"/>
        <v>Cancelled</v>
      </c>
    </row>
    <row r="31" spans="1:13" x14ac:dyDescent="0.3">
      <c r="A31" t="s">
        <v>83</v>
      </c>
      <c r="B31" s="1">
        <v>45698</v>
      </c>
      <c r="C31" t="s">
        <v>60</v>
      </c>
      <c r="D31" t="s">
        <v>61</v>
      </c>
      <c r="E31" s="2">
        <v>600</v>
      </c>
      <c r="F31" s="3">
        <v>3</v>
      </c>
      <c r="G31" s="2">
        <v>1800</v>
      </c>
      <c r="H31" t="s">
        <v>21</v>
      </c>
      <c r="I31" t="s">
        <v>30</v>
      </c>
      <c r="J31" t="s">
        <v>58</v>
      </c>
      <c r="K31" t="s">
        <v>17</v>
      </c>
      <c r="L31" t="str">
        <f t="shared" si="0"/>
        <v>Feb</v>
      </c>
      <c r="M31" t="str">
        <f t="shared" si="1"/>
        <v>Cancelled</v>
      </c>
    </row>
    <row r="32" spans="1:13" x14ac:dyDescent="0.3">
      <c r="A32" t="s">
        <v>84</v>
      </c>
      <c r="B32" s="1">
        <v>45740</v>
      </c>
      <c r="C32" t="s">
        <v>42</v>
      </c>
      <c r="D32" t="s">
        <v>20</v>
      </c>
      <c r="E32" s="2">
        <v>500</v>
      </c>
      <c r="F32" s="3">
        <v>1</v>
      </c>
      <c r="G32" s="2">
        <v>500</v>
      </c>
      <c r="H32" t="s">
        <v>25</v>
      </c>
      <c r="I32" t="s">
        <v>38</v>
      </c>
      <c r="J32" t="s">
        <v>58</v>
      </c>
      <c r="K32" t="s">
        <v>23</v>
      </c>
      <c r="L32" t="str">
        <f t="shared" si="0"/>
        <v>Mar</v>
      </c>
      <c r="M32" t="str">
        <f t="shared" si="1"/>
        <v>Pending</v>
      </c>
    </row>
    <row r="33" spans="1:13" x14ac:dyDescent="0.3">
      <c r="A33" t="s">
        <v>85</v>
      </c>
      <c r="B33" s="1">
        <v>45726</v>
      </c>
      <c r="C33" t="s">
        <v>42</v>
      </c>
      <c r="D33" t="s">
        <v>20</v>
      </c>
      <c r="E33" s="2">
        <v>500</v>
      </c>
      <c r="F33" s="3">
        <v>4</v>
      </c>
      <c r="G33" s="2">
        <v>2000</v>
      </c>
      <c r="H33" t="s">
        <v>54</v>
      </c>
      <c r="I33" t="s">
        <v>63</v>
      </c>
      <c r="J33" t="s">
        <v>39</v>
      </c>
      <c r="K33" t="s">
        <v>23</v>
      </c>
      <c r="L33" t="str">
        <f t="shared" si="0"/>
        <v>Mar</v>
      </c>
      <c r="M33" t="str">
        <f t="shared" si="1"/>
        <v>Pending</v>
      </c>
    </row>
    <row r="34" spans="1:13" x14ac:dyDescent="0.3">
      <c r="A34" t="s">
        <v>86</v>
      </c>
      <c r="B34" s="1">
        <v>45692</v>
      </c>
      <c r="C34" t="s">
        <v>49</v>
      </c>
      <c r="D34" t="s">
        <v>50</v>
      </c>
      <c r="E34" s="2">
        <v>15</v>
      </c>
      <c r="F34" s="3">
        <v>1</v>
      </c>
      <c r="G34" s="2">
        <v>15</v>
      </c>
      <c r="H34" t="s">
        <v>29</v>
      </c>
      <c r="I34" t="s">
        <v>15</v>
      </c>
      <c r="J34" t="s">
        <v>16</v>
      </c>
      <c r="K34" t="s">
        <v>17</v>
      </c>
      <c r="L34" t="str">
        <f t="shared" si="0"/>
        <v>Feb</v>
      </c>
      <c r="M34" t="str">
        <f t="shared" si="1"/>
        <v>Cancelled</v>
      </c>
    </row>
    <row r="35" spans="1:13" x14ac:dyDescent="0.3">
      <c r="A35" t="s">
        <v>87</v>
      </c>
      <c r="B35" s="1">
        <v>45749</v>
      </c>
      <c r="C35" t="s">
        <v>35</v>
      </c>
      <c r="D35" t="s">
        <v>36</v>
      </c>
      <c r="E35" s="2">
        <v>20</v>
      </c>
      <c r="F35" s="3">
        <v>5</v>
      </c>
      <c r="G35" s="2">
        <v>100</v>
      </c>
      <c r="H35" t="s">
        <v>80</v>
      </c>
      <c r="I35" t="s">
        <v>15</v>
      </c>
      <c r="J35" t="s">
        <v>31</v>
      </c>
      <c r="K35" t="s">
        <v>23</v>
      </c>
      <c r="L35" t="str">
        <f t="shared" si="0"/>
        <v>Apr</v>
      </c>
      <c r="M35" t="str">
        <f t="shared" si="1"/>
        <v>Pending</v>
      </c>
    </row>
    <row r="36" spans="1:13" x14ac:dyDescent="0.3">
      <c r="A36" t="s">
        <v>88</v>
      </c>
      <c r="B36" s="1">
        <v>45749</v>
      </c>
      <c r="C36" t="s">
        <v>56</v>
      </c>
      <c r="D36" t="s">
        <v>20</v>
      </c>
      <c r="E36" s="2">
        <v>800</v>
      </c>
      <c r="F36" s="3">
        <v>3</v>
      </c>
      <c r="G36" s="2">
        <v>2400</v>
      </c>
      <c r="H36" t="s">
        <v>14</v>
      </c>
      <c r="I36" t="s">
        <v>26</v>
      </c>
      <c r="J36" t="s">
        <v>27</v>
      </c>
      <c r="K36" t="s">
        <v>40</v>
      </c>
      <c r="L36" t="str">
        <f t="shared" si="0"/>
        <v>Apr</v>
      </c>
      <c r="M36" t="str">
        <f t="shared" si="1"/>
        <v>Delivered</v>
      </c>
    </row>
    <row r="37" spans="1:13" x14ac:dyDescent="0.3">
      <c r="A37" t="s">
        <v>89</v>
      </c>
      <c r="B37" s="1">
        <v>45697</v>
      </c>
      <c r="C37" t="s">
        <v>65</v>
      </c>
      <c r="D37" t="s">
        <v>61</v>
      </c>
      <c r="E37" s="2">
        <v>1200</v>
      </c>
      <c r="F37" s="3">
        <v>2</v>
      </c>
      <c r="G37" s="2">
        <v>2400</v>
      </c>
      <c r="H37" t="s">
        <v>43</v>
      </c>
      <c r="I37" t="s">
        <v>46</v>
      </c>
      <c r="J37" t="s">
        <v>39</v>
      </c>
      <c r="K37" t="s">
        <v>17</v>
      </c>
      <c r="L37" t="str">
        <f t="shared" si="0"/>
        <v>Feb</v>
      </c>
      <c r="M37" t="str">
        <f t="shared" si="1"/>
        <v>Cancelled</v>
      </c>
    </row>
    <row r="38" spans="1:13" x14ac:dyDescent="0.3">
      <c r="A38" t="s">
        <v>90</v>
      </c>
      <c r="B38" s="1">
        <v>45704</v>
      </c>
      <c r="C38" t="s">
        <v>19</v>
      </c>
      <c r="D38" t="s">
        <v>20</v>
      </c>
      <c r="E38" s="2">
        <v>100</v>
      </c>
      <c r="F38" s="3">
        <v>3</v>
      </c>
      <c r="G38" s="2">
        <v>300</v>
      </c>
      <c r="H38" t="s">
        <v>54</v>
      </c>
      <c r="I38" t="s">
        <v>15</v>
      </c>
      <c r="J38" t="s">
        <v>16</v>
      </c>
      <c r="K38" t="s">
        <v>17</v>
      </c>
      <c r="L38" t="str">
        <f t="shared" si="0"/>
        <v>Feb</v>
      </c>
      <c r="M38" t="str">
        <f t="shared" si="1"/>
        <v>Cancelled</v>
      </c>
    </row>
    <row r="39" spans="1:13" x14ac:dyDescent="0.3">
      <c r="A39" t="s">
        <v>91</v>
      </c>
      <c r="B39" s="1">
        <v>45742</v>
      </c>
      <c r="C39" t="s">
        <v>56</v>
      </c>
      <c r="D39" t="s">
        <v>20</v>
      </c>
      <c r="E39" s="2">
        <v>800</v>
      </c>
      <c r="F39" s="3">
        <v>3</v>
      </c>
      <c r="G39" s="2">
        <v>2400</v>
      </c>
      <c r="H39" t="s">
        <v>29</v>
      </c>
      <c r="I39" t="s">
        <v>81</v>
      </c>
      <c r="J39" t="s">
        <v>27</v>
      </c>
      <c r="K39" t="s">
        <v>40</v>
      </c>
      <c r="L39" t="str">
        <f t="shared" si="0"/>
        <v>Mar</v>
      </c>
      <c r="M39" t="str">
        <f t="shared" si="1"/>
        <v>Delivered</v>
      </c>
    </row>
    <row r="40" spans="1:13" x14ac:dyDescent="0.3">
      <c r="A40" t="s">
        <v>92</v>
      </c>
      <c r="B40" s="1">
        <v>45718</v>
      </c>
      <c r="C40" t="s">
        <v>56</v>
      </c>
      <c r="D40" t="s">
        <v>20</v>
      </c>
      <c r="E40" s="2">
        <v>800</v>
      </c>
      <c r="F40" s="3">
        <v>2</v>
      </c>
      <c r="G40" s="2">
        <v>1600</v>
      </c>
      <c r="H40" t="s">
        <v>29</v>
      </c>
      <c r="I40" t="s">
        <v>22</v>
      </c>
      <c r="J40" t="s">
        <v>39</v>
      </c>
      <c r="K40" t="s">
        <v>40</v>
      </c>
      <c r="L40" t="str">
        <f t="shared" si="0"/>
        <v>Mar</v>
      </c>
      <c r="M40" t="str">
        <f t="shared" si="1"/>
        <v>Delivered</v>
      </c>
    </row>
    <row r="41" spans="1:13" x14ac:dyDescent="0.3">
      <c r="A41" t="s">
        <v>93</v>
      </c>
      <c r="B41" s="1">
        <v>45742</v>
      </c>
      <c r="C41" t="s">
        <v>33</v>
      </c>
      <c r="D41" t="s">
        <v>20</v>
      </c>
      <c r="E41" s="2">
        <v>150</v>
      </c>
      <c r="F41" s="3">
        <v>1</v>
      </c>
      <c r="G41" s="2">
        <v>150</v>
      </c>
      <c r="H41" t="s">
        <v>21</v>
      </c>
      <c r="I41" t="s">
        <v>63</v>
      </c>
      <c r="J41" t="s">
        <v>58</v>
      </c>
      <c r="K41" t="s">
        <v>23</v>
      </c>
      <c r="L41" t="str">
        <f t="shared" si="0"/>
        <v>Mar</v>
      </c>
      <c r="M41" t="str">
        <f t="shared" si="1"/>
        <v>Pending</v>
      </c>
    </row>
    <row r="42" spans="1:13" x14ac:dyDescent="0.3">
      <c r="A42" t="s">
        <v>94</v>
      </c>
      <c r="B42" s="1">
        <v>45708</v>
      </c>
      <c r="C42" t="s">
        <v>49</v>
      </c>
      <c r="D42" t="s">
        <v>50</v>
      </c>
      <c r="E42" s="2">
        <v>15</v>
      </c>
      <c r="F42" s="3">
        <v>1</v>
      </c>
      <c r="G42" s="2">
        <v>15</v>
      </c>
      <c r="H42" t="s">
        <v>80</v>
      </c>
      <c r="I42" t="s">
        <v>44</v>
      </c>
      <c r="J42" t="s">
        <v>31</v>
      </c>
      <c r="K42" t="s">
        <v>17</v>
      </c>
      <c r="L42" t="str">
        <f t="shared" si="0"/>
        <v>Feb</v>
      </c>
      <c r="M42" t="str">
        <f t="shared" si="1"/>
        <v>Cancelled</v>
      </c>
    </row>
    <row r="43" spans="1:13" x14ac:dyDescent="0.3">
      <c r="A43" t="s">
        <v>95</v>
      </c>
      <c r="B43" s="1">
        <v>45733</v>
      </c>
      <c r="C43" t="s">
        <v>19</v>
      </c>
      <c r="D43" t="s">
        <v>20</v>
      </c>
      <c r="E43" s="2">
        <v>100</v>
      </c>
      <c r="F43" s="3">
        <v>3</v>
      </c>
      <c r="G43" s="2">
        <v>300</v>
      </c>
      <c r="H43" t="s">
        <v>80</v>
      </c>
      <c r="I43" t="s">
        <v>81</v>
      </c>
      <c r="J43" t="s">
        <v>27</v>
      </c>
      <c r="K43" t="s">
        <v>17</v>
      </c>
      <c r="L43" t="str">
        <f t="shared" si="0"/>
        <v>Mar</v>
      </c>
      <c r="M43" t="str">
        <f t="shared" si="1"/>
        <v>Cancelled</v>
      </c>
    </row>
    <row r="44" spans="1:13" x14ac:dyDescent="0.3">
      <c r="A44" t="s">
        <v>96</v>
      </c>
      <c r="B44" s="1">
        <v>45696</v>
      </c>
      <c r="C44" t="s">
        <v>35</v>
      </c>
      <c r="D44" t="s">
        <v>36</v>
      </c>
      <c r="E44" s="2">
        <v>20</v>
      </c>
      <c r="F44" s="3">
        <v>4</v>
      </c>
      <c r="G44" s="2">
        <v>80</v>
      </c>
      <c r="H44" t="s">
        <v>80</v>
      </c>
      <c r="I44" t="s">
        <v>26</v>
      </c>
      <c r="J44" t="s">
        <v>31</v>
      </c>
      <c r="K44" t="s">
        <v>23</v>
      </c>
      <c r="L44" t="str">
        <f t="shared" si="0"/>
        <v>Feb</v>
      </c>
      <c r="M44" t="str">
        <f t="shared" si="1"/>
        <v>Pending</v>
      </c>
    </row>
    <row r="45" spans="1:13" x14ac:dyDescent="0.3">
      <c r="A45" t="s">
        <v>97</v>
      </c>
      <c r="B45" s="1">
        <v>45740</v>
      </c>
      <c r="C45" t="s">
        <v>33</v>
      </c>
      <c r="D45" t="s">
        <v>20</v>
      </c>
      <c r="E45" s="2">
        <v>150</v>
      </c>
      <c r="F45" s="3">
        <v>1</v>
      </c>
      <c r="G45" s="2">
        <v>150</v>
      </c>
      <c r="H45" t="s">
        <v>72</v>
      </c>
      <c r="I45" t="s">
        <v>38</v>
      </c>
      <c r="J45" t="s">
        <v>16</v>
      </c>
      <c r="K45" t="s">
        <v>23</v>
      </c>
      <c r="L45" t="str">
        <f t="shared" si="0"/>
        <v>Mar</v>
      </c>
      <c r="M45" t="str">
        <f t="shared" si="1"/>
        <v>Pending</v>
      </c>
    </row>
    <row r="46" spans="1:13" x14ac:dyDescent="0.3">
      <c r="A46" t="s">
        <v>98</v>
      </c>
      <c r="B46" s="1">
        <v>45731</v>
      </c>
      <c r="C46" t="s">
        <v>65</v>
      </c>
      <c r="D46" t="s">
        <v>61</v>
      </c>
      <c r="E46" s="2">
        <v>1200</v>
      </c>
      <c r="F46" s="3">
        <v>3</v>
      </c>
      <c r="G46" s="2">
        <v>3600</v>
      </c>
      <c r="H46" t="s">
        <v>57</v>
      </c>
      <c r="I46" t="s">
        <v>15</v>
      </c>
      <c r="J46" t="s">
        <v>31</v>
      </c>
      <c r="K46" t="s">
        <v>23</v>
      </c>
      <c r="L46" t="str">
        <f t="shared" si="0"/>
        <v>Mar</v>
      </c>
      <c r="M46" t="str">
        <f t="shared" si="1"/>
        <v>Pending</v>
      </c>
    </row>
    <row r="47" spans="1:13" x14ac:dyDescent="0.3">
      <c r="A47" t="s">
        <v>99</v>
      </c>
      <c r="B47" s="1">
        <v>45722</v>
      </c>
      <c r="C47" t="s">
        <v>12</v>
      </c>
      <c r="D47" t="s">
        <v>13</v>
      </c>
      <c r="E47" s="2">
        <v>60</v>
      </c>
      <c r="F47" s="3">
        <v>2</v>
      </c>
      <c r="G47" s="2">
        <v>120</v>
      </c>
      <c r="H47" t="s">
        <v>51</v>
      </c>
      <c r="I47" t="s">
        <v>38</v>
      </c>
      <c r="J47" t="s">
        <v>16</v>
      </c>
      <c r="K47" t="s">
        <v>17</v>
      </c>
      <c r="L47" t="str">
        <f t="shared" si="0"/>
        <v>Mar</v>
      </c>
      <c r="M47" t="str">
        <f t="shared" si="1"/>
        <v>Cancelled</v>
      </c>
    </row>
    <row r="48" spans="1:13" x14ac:dyDescent="0.3">
      <c r="A48" t="s">
        <v>100</v>
      </c>
      <c r="B48" s="1">
        <v>45742</v>
      </c>
      <c r="C48" t="s">
        <v>35</v>
      </c>
      <c r="D48" t="s">
        <v>36</v>
      </c>
      <c r="E48" s="2">
        <v>20</v>
      </c>
      <c r="F48" s="3">
        <v>2</v>
      </c>
      <c r="G48" s="2">
        <v>40</v>
      </c>
      <c r="H48" t="s">
        <v>72</v>
      </c>
      <c r="I48" t="s">
        <v>44</v>
      </c>
      <c r="J48" t="s">
        <v>58</v>
      </c>
      <c r="K48" t="s">
        <v>17</v>
      </c>
      <c r="L48" t="str">
        <f t="shared" si="0"/>
        <v>Mar</v>
      </c>
      <c r="M48" t="str">
        <f t="shared" si="1"/>
        <v>Cancelled</v>
      </c>
    </row>
    <row r="49" spans="1:13" x14ac:dyDescent="0.3">
      <c r="A49" t="s">
        <v>101</v>
      </c>
      <c r="B49" s="1">
        <v>45699</v>
      </c>
      <c r="C49" t="s">
        <v>35</v>
      </c>
      <c r="D49" t="s">
        <v>36</v>
      </c>
      <c r="E49" s="2">
        <v>20</v>
      </c>
      <c r="F49" s="3">
        <v>5</v>
      </c>
      <c r="G49" s="2">
        <v>100</v>
      </c>
      <c r="H49" t="s">
        <v>80</v>
      </c>
      <c r="I49" t="s">
        <v>26</v>
      </c>
      <c r="J49" t="s">
        <v>27</v>
      </c>
      <c r="K49" t="s">
        <v>40</v>
      </c>
      <c r="L49" t="str">
        <f t="shared" si="0"/>
        <v>Feb</v>
      </c>
      <c r="M49" t="str">
        <f t="shared" si="1"/>
        <v>Delivered</v>
      </c>
    </row>
    <row r="50" spans="1:13" x14ac:dyDescent="0.3">
      <c r="A50" t="s">
        <v>102</v>
      </c>
      <c r="B50" s="1">
        <v>45706</v>
      </c>
      <c r="C50" t="s">
        <v>42</v>
      </c>
      <c r="D50" t="s">
        <v>20</v>
      </c>
      <c r="E50" s="2">
        <v>500</v>
      </c>
      <c r="F50" s="3">
        <v>4</v>
      </c>
      <c r="G50" s="2">
        <v>2000</v>
      </c>
      <c r="H50" t="s">
        <v>14</v>
      </c>
      <c r="I50" t="s">
        <v>81</v>
      </c>
      <c r="J50" t="s">
        <v>16</v>
      </c>
      <c r="K50" t="s">
        <v>40</v>
      </c>
      <c r="L50" t="str">
        <f t="shared" si="0"/>
        <v>Feb</v>
      </c>
      <c r="M50" t="str">
        <f t="shared" si="1"/>
        <v>Delivered</v>
      </c>
    </row>
    <row r="51" spans="1:13" x14ac:dyDescent="0.3">
      <c r="A51" t="s">
        <v>103</v>
      </c>
      <c r="B51" s="1">
        <v>45730</v>
      </c>
      <c r="C51" t="s">
        <v>53</v>
      </c>
      <c r="D51" t="s">
        <v>36</v>
      </c>
      <c r="E51" s="2">
        <v>40</v>
      </c>
      <c r="F51" s="3">
        <v>3</v>
      </c>
      <c r="G51" s="2">
        <v>120</v>
      </c>
      <c r="H51" t="s">
        <v>25</v>
      </c>
      <c r="I51" t="s">
        <v>46</v>
      </c>
      <c r="J51" t="s">
        <v>58</v>
      </c>
      <c r="K51" t="s">
        <v>40</v>
      </c>
      <c r="L51" t="str">
        <f t="shared" si="0"/>
        <v>Mar</v>
      </c>
      <c r="M51" t="str">
        <f t="shared" si="1"/>
        <v>Delivered</v>
      </c>
    </row>
    <row r="52" spans="1:13" x14ac:dyDescent="0.3">
      <c r="A52" t="s">
        <v>104</v>
      </c>
      <c r="B52" s="1">
        <v>45707</v>
      </c>
      <c r="C52" t="s">
        <v>49</v>
      </c>
      <c r="D52" t="s">
        <v>50</v>
      </c>
      <c r="E52" s="2">
        <v>15</v>
      </c>
      <c r="F52" s="3">
        <v>1</v>
      </c>
      <c r="G52" s="2">
        <v>15</v>
      </c>
      <c r="H52" t="s">
        <v>14</v>
      </c>
      <c r="I52" t="s">
        <v>38</v>
      </c>
      <c r="J52" t="s">
        <v>58</v>
      </c>
      <c r="K52" t="s">
        <v>17</v>
      </c>
      <c r="L52" t="str">
        <f t="shared" si="0"/>
        <v>Feb</v>
      </c>
      <c r="M52" t="str">
        <f t="shared" si="1"/>
        <v>Cancelled</v>
      </c>
    </row>
    <row r="53" spans="1:13" x14ac:dyDescent="0.3">
      <c r="A53" t="s">
        <v>105</v>
      </c>
      <c r="B53" s="1">
        <v>45712</v>
      </c>
      <c r="C53" t="s">
        <v>56</v>
      </c>
      <c r="D53" t="s">
        <v>20</v>
      </c>
      <c r="E53" s="2">
        <v>800</v>
      </c>
      <c r="F53" s="3">
        <v>3</v>
      </c>
      <c r="G53" s="2">
        <v>2400</v>
      </c>
      <c r="H53" t="s">
        <v>25</v>
      </c>
      <c r="I53" t="s">
        <v>22</v>
      </c>
      <c r="J53" t="s">
        <v>31</v>
      </c>
      <c r="K53" t="s">
        <v>23</v>
      </c>
      <c r="L53" t="str">
        <f t="shared" si="0"/>
        <v>Feb</v>
      </c>
      <c r="M53" t="str">
        <f t="shared" si="1"/>
        <v>Pending</v>
      </c>
    </row>
    <row r="54" spans="1:13" x14ac:dyDescent="0.3">
      <c r="A54" t="s">
        <v>106</v>
      </c>
      <c r="B54" s="1">
        <v>45740</v>
      </c>
      <c r="C54" t="s">
        <v>12</v>
      </c>
      <c r="D54" t="s">
        <v>13</v>
      </c>
      <c r="E54" s="2">
        <v>60</v>
      </c>
      <c r="F54" s="3">
        <v>4</v>
      </c>
      <c r="G54" s="2">
        <v>240</v>
      </c>
      <c r="H54" t="s">
        <v>21</v>
      </c>
      <c r="I54" t="s">
        <v>68</v>
      </c>
      <c r="J54" t="s">
        <v>39</v>
      </c>
      <c r="K54" t="s">
        <v>40</v>
      </c>
      <c r="L54" t="str">
        <f t="shared" si="0"/>
        <v>Mar</v>
      </c>
      <c r="M54" t="str">
        <f t="shared" si="1"/>
        <v>Delivered</v>
      </c>
    </row>
    <row r="55" spans="1:13" x14ac:dyDescent="0.3">
      <c r="A55" t="s">
        <v>107</v>
      </c>
      <c r="B55" s="1">
        <v>45731</v>
      </c>
      <c r="C55" t="s">
        <v>33</v>
      </c>
      <c r="D55" t="s">
        <v>20</v>
      </c>
      <c r="E55" s="2">
        <v>150</v>
      </c>
      <c r="F55" s="3">
        <v>3</v>
      </c>
      <c r="G55" s="2">
        <v>450</v>
      </c>
      <c r="H55" t="s">
        <v>51</v>
      </c>
      <c r="I55" t="s">
        <v>46</v>
      </c>
      <c r="J55" t="s">
        <v>58</v>
      </c>
      <c r="K55" t="s">
        <v>23</v>
      </c>
      <c r="L55" t="str">
        <f t="shared" si="0"/>
        <v>Mar</v>
      </c>
      <c r="M55" t="str">
        <f t="shared" si="1"/>
        <v>Pending</v>
      </c>
    </row>
    <row r="56" spans="1:13" x14ac:dyDescent="0.3">
      <c r="A56" t="s">
        <v>108</v>
      </c>
      <c r="B56" s="1">
        <v>45731</v>
      </c>
      <c r="C56" t="s">
        <v>53</v>
      </c>
      <c r="D56" t="s">
        <v>36</v>
      </c>
      <c r="E56" s="2">
        <v>40</v>
      </c>
      <c r="F56" s="3">
        <v>2</v>
      </c>
      <c r="G56" s="2">
        <v>80</v>
      </c>
      <c r="H56" t="s">
        <v>43</v>
      </c>
      <c r="I56" t="s">
        <v>30</v>
      </c>
      <c r="J56" t="s">
        <v>39</v>
      </c>
      <c r="K56" t="s">
        <v>40</v>
      </c>
      <c r="L56" t="str">
        <f t="shared" si="0"/>
        <v>Mar</v>
      </c>
      <c r="M56" t="str">
        <f t="shared" si="1"/>
        <v>Delivered</v>
      </c>
    </row>
    <row r="57" spans="1:13" x14ac:dyDescent="0.3">
      <c r="A57" t="s">
        <v>109</v>
      </c>
      <c r="B57" s="1">
        <v>45735</v>
      </c>
      <c r="C57" t="s">
        <v>33</v>
      </c>
      <c r="D57" t="s">
        <v>20</v>
      </c>
      <c r="E57" s="2">
        <v>150</v>
      </c>
      <c r="F57" s="3">
        <v>2</v>
      </c>
      <c r="G57" s="2">
        <v>300</v>
      </c>
      <c r="H57" t="s">
        <v>14</v>
      </c>
      <c r="I57" t="s">
        <v>30</v>
      </c>
      <c r="J57" t="s">
        <v>31</v>
      </c>
      <c r="K57" t="s">
        <v>40</v>
      </c>
      <c r="L57" t="str">
        <f t="shared" si="0"/>
        <v>Mar</v>
      </c>
      <c r="M57" t="str">
        <f t="shared" si="1"/>
        <v>Delivered</v>
      </c>
    </row>
    <row r="58" spans="1:13" x14ac:dyDescent="0.3">
      <c r="A58" t="s">
        <v>110</v>
      </c>
      <c r="B58" s="1">
        <v>45731</v>
      </c>
      <c r="C58" t="s">
        <v>42</v>
      </c>
      <c r="D58" t="s">
        <v>20</v>
      </c>
      <c r="E58" s="2">
        <v>500</v>
      </c>
      <c r="F58" s="3">
        <v>1</v>
      </c>
      <c r="G58" s="2">
        <v>500</v>
      </c>
      <c r="H58" t="s">
        <v>80</v>
      </c>
      <c r="I58" t="s">
        <v>68</v>
      </c>
      <c r="J58" t="s">
        <v>16</v>
      </c>
      <c r="K58" t="s">
        <v>17</v>
      </c>
      <c r="L58" t="str">
        <f t="shared" si="0"/>
        <v>Mar</v>
      </c>
      <c r="M58" t="str">
        <f t="shared" si="1"/>
        <v>Cancelled</v>
      </c>
    </row>
    <row r="59" spans="1:13" x14ac:dyDescent="0.3">
      <c r="A59" t="s">
        <v>111</v>
      </c>
      <c r="B59" s="1">
        <v>45729</v>
      </c>
      <c r="C59" t="s">
        <v>42</v>
      </c>
      <c r="D59" t="s">
        <v>20</v>
      </c>
      <c r="E59" s="2">
        <v>500</v>
      </c>
      <c r="F59" s="3">
        <v>1</v>
      </c>
      <c r="G59" s="2">
        <v>500</v>
      </c>
      <c r="H59" t="s">
        <v>80</v>
      </c>
      <c r="I59" t="s">
        <v>81</v>
      </c>
      <c r="J59" t="s">
        <v>39</v>
      </c>
      <c r="K59" t="s">
        <v>17</v>
      </c>
      <c r="L59" t="str">
        <f t="shared" si="0"/>
        <v>Mar</v>
      </c>
      <c r="M59" t="str">
        <f t="shared" si="1"/>
        <v>Cancelled</v>
      </c>
    </row>
    <row r="60" spans="1:13" x14ac:dyDescent="0.3">
      <c r="A60" t="s">
        <v>112</v>
      </c>
      <c r="B60" s="1">
        <v>45748</v>
      </c>
      <c r="C60" t="s">
        <v>33</v>
      </c>
      <c r="D60" t="s">
        <v>20</v>
      </c>
      <c r="E60" s="2">
        <v>150</v>
      </c>
      <c r="F60" s="3">
        <v>2</v>
      </c>
      <c r="G60" s="2">
        <v>300</v>
      </c>
      <c r="H60" t="s">
        <v>57</v>
      </c>
      <c r="I60" t="s">
        <v>30</v>
      </c>
      <c r="J60" t="s">
        <v>31</v>
      </c>
      <c r="K60" t="s">
        <v>17</v>
      </c>
      <c r="L60" t="str">
        <f t="shared" si="0"/>
        <v>Apr</v>
      </c>
      <c r="M60" t="str">
        <f t="shared" si="1"/>
        <v>Cancelled</v>
      </c>
    </row>
    <row r="61" spans="1:13" x14ac:dyDescent="0.3">
      <c r="A61" t="s">
        <v>113</v>
      </c>
      <c r="B61" s="1">
        <v>45728</v>
      </c>
      <c r="C61" t="s">
        <v>49</v>
      </c>
      <c r="D61" t="s">
        <v>50</v>
      </c>
      <c r="E61" s="2">
        <v>15</v>
      </c>
      <c r="F61" s="3">
        <v>5</v>
      </c>
      <c r="G61" s="2">
        <v>75</v>
      </c>
      <c r="H61" t="s">
        <v>80</v>
      </c>
      <c r="I61" t="s">
        <v>30</v>
      </c>
      <c r="J61" t="s">
        <v>31</v>
      </c>
      <c r="K61" t="s">
        <v>23</v>
      </c>
      <c r="L61" t="str">
        <f t="shared" si="0"/>
        <v>Mar</v>
      </c>
      <c r="M61" t="str">
        <f t="shared" si="1"/>
        <v>Pending</v>
      </c>
    </row>
    <row r="62" spans="1:13" x14ac:dyDescent="0.3">
      <c r="A62" t="s">
        <v>114</v>
      </c>
      <c r="B62" s="1">
        <v>45727</v>
      </c>
      <c r="C62" t="s">
        <v>65</v>
      </c>
      <c r="D62" t="s">
        <v>61</v>
      </c>
      <c r="E62" s="2">
        <v>1200</v>
      </c>
      <c r="F62" s="3">
        <v>1</v>
      </c>
      <c r="G62" s="2">
        <v>1200</v>
      </c>
      <c r="H62" t="s">
        <v>80</v>
      </c>
      <c r="I62" t="s">
        <v>15</v>
      </c>
      <c r="J62" t="s">
        <v>39</v>
      </c>
      <c r="K62" t="s">
        <v>17</v>
      </c>
      <c r="L62" t="str">
        <f t="shared" si="0"/>
        <v>Mar</v>
      </c>
      <c r="M62" t="str">
        <f t="shared" si="1"/>
        <v>Cancelled</v>
      </c>
    </row>
    <row r="63" spans="1:13" x14ac:dyDescent="0.3">
      <c r="A63" t="s">
        <v>115</v>
      </c>
      <c r="B63" s="1">
        <v>45698</v>
      </c>
      <c r="C63" t="s">
        <v>56</v>
      </c>
      <c r="D63" t="s">
        <v>20</v>
      </c>
      <c r="E63" s="2">
        <v>800</v>
      </c>
      <c r="F63" s="3">
        <v>5</v>
      </c>
      <c r="G63" s="2">
        <v>4000</v>
      </c>
      <c r="H63" t="s">
        <v>29</v>
      </c>
      <c r="I63" t="s">
        <v>22</v>
      </c>
      <c r="J63" t="s">
        <v>39</v>
      </c>
      <c r="K63" t="s">
        <v>40</v>
      </c>
      <c r="L63" t="str">
        <f t="shared" si="0"/>
        <v>Feb</v>
      </c>
      <c r="M63" t="str">
        <f t="shared" si="1"/>
        <v>Delivered</v>
      </c>
    </row>
    <row r="64" spans="1:13" x14ac:dyDescent="0.3">
      <c r="A64" t="s">
        <v>116</v>
      </c>
      <c r="B64" s="1">
        <v>45746</v>
      </c>
      <c r="C64" t="s">
        <v>42</v>
      </c>
      <c r="D64" t="s">
        <v>20</v>
      </c>
      <c r="E64" s="2">
        <v>500</v>
      </c>
      <c r="F64" s="3">
        <v>5</v>
      </c>
      <c r="G64" s="2">
        <v>2500</v>
      </c>
      <c r="H64" t="s">
        <v>14</v>
      </c>
      <c r="I64" t="s">
        <v>44</v>
      </c>
      <c r="J64" t="s">
        <v>58</v>
      </c>
      <c r="K64" t="s">
        <v>40</v>
      </c>
      <c r="L64" t="str">
        <f t="shared" si="0"/>
        <v>Mar</v>
      </c>
      <c r="M64" t="str">
        <f t="shared" si="1"/>
        <v>Delivered</v>
      </c>
    </row>
    <row r="65" spans="1:13" x14ac:dyDescent="0.3">
      <c r="A65" t="s">
        <v>117</v>
      </c>
      <c r="B65" s="1">
        <v>45701</v>
      </c>
      <c r="C65" t="s">
        <v>65</v>
      </c>
      <c r="D65" t="s">
        <v>61</v>
      </c>
      <c r="E65" s="2">
        <v>1200</v>
      </c>
      <c r="F65" s="3">
        <v>4</v>
      </c>
      <c r="G65" s="2">
        <v>4800</v>
      </c>
      <c r="H65" t="s">
        <v>21</v>
      </c>
      <c r="I65" t="s">
        <v>26</v>
      </c>
      <c r="J65" t="s">
        <v>39</v>
      </c>
      <c r="K65" t="s">
        <v>23</v>
      </c>
      <c r="L65" t="str">
        <f t="shared" si="0"/>
        <v>Feb</v>
      </c>
      <c r="M65" t="str">
        <f t="shared" si="1"/>
        <v>Pending</v>
      </c>
    </row>
    <row r="66" spans="1:13" x14ac:dyDescent="0.3">
      <c r="A66" t="s">
        <v>118</v>
      </c>
      <c r="B66" s="1">
        <v>45732</v>
      </c>
      <c r="C66" t="s">
        <v>49</v>
      </c>
      <c r="D66" t="s">
        <v>50</v>
      </c>
      <c r="E66" s="2">
        <v>15</v>
      </c>
      <c r="F66" s="3">
        <v>3</v>
      </c>
      <c r="G66" s="2">
        <v>45</v>
      </c>
      <c r="H66" t="s">
        <v>14</v>
      </c>
      <c r="I66" t="s">
        <v>22</v>
      </c>
      <c r="J66" t="s">
        <v>27</v>
      </c>
      <c r="K66" t="s">
        <v>23</v>
      </c>
      <c r="L66" t="str">
        <f t="shared" si="0"/>
        <v>Mar</v>
      </c>
      <c r="M66" t="str">
        <f t="shared" si="1"/>
        <v>Pending</v>
      </c>
    </row>
    <row r="67" spans="1:13" x14ac:dyDescent="0.3">
      <c r="A67" t="s">
        <v>119</v>
      </c>
      <c r="B67" s="1">
        <v>45730</v>
      </c>
      <c r="C67" t="s">
        <v>33</v>
      </c>
      <c r="D67" t="s">
        <v>20</v>
      </c>
      <c r="E67" s="2">
        <v>150</v>
      </c>
      <c r="F67" s="3">
        <v>2</v>
      </c>
      <c r="G67" s="2">
        <v>300</v>
      </c>
      <c r="H67" t="s">
        <v>54</v>
      </c>
      <c r="I67" t="s">
        <v>26</v>
      </c>
      <c r="J67" t="s">
        <v>39</v>
      </c>
      <c r="K67" t="s">
        <v>23</v>
      </c>
      <c r="L67" t="str">
        <f t="shared" ref="L67:L130" si="2">TEXT(B67,"MMM")</f>
        <v>Mar</v>
      </c>
      <c r="M67" t="str">
        <f t="shared" ref="M67:M130" si="3">IF(K67="Completed","Delivered",K67)</f>
        <v>Pending</v>
      </c>
    </row>
    <row r="68" spans="1:13" x14ac:dyDescent="0.3">
      <c r="A68" t="s">
        <v>120</v>
      </c>
      <c r="B68" s="1">
        <v>45747</v>
      </c>
      <c r="C68" t="s">
        <v>19</v>
      </c>
      <c r="D68" t="s">
        <v>20</v>
      </c>
      <c r="E68" s="2">
        <v>100</v>
      </c>
      <c r="F68" s="3">
        <v>3</v>
      </c>
      <c r="G68" s="2">
        <v>300</v>
      </c>
      <c r="H68" t="s">
        <v>72</v>
      </c>
      <c r="I68" t="s">
        <v>15</v>
      </c>
      <c r="J68" t="s">
        <v>16</v>
      </c>
      <c r="K68" t="s">
        <v>23</v>
      </c>
      <c r="L68" t="str">
        <f t="shared" si="2"/>
        <v>Mar</v>
      </c>
      <c r="M68" t="str">
        <f t="shared" si="3"/>
        <v>Pending</v>
      </c>
    </row>
    <row r="69" spans="1:13" x14ac:dyDescent="0.3">
      <c r="A69" t="s">
        <v>121</v>
      </c>
      <c r="B69" s="1">
        <v>45711</v>
      </c>
      <c r="C69" t="s">
        <v>19</v>
      </c>
      <c r="D69" t="s">
        <v>20</v>
      </c>
      <c r="E69" s="2">
        <v>100</v>
      </c>
      <c r="F69" s="3">
        <v>1</v>
      </c>
      <c r="G69" s="2">
        <v>100</v>
      </c>
      <c r="H69" t="s">
        <v>51</v>
      </c>
      <c r="I69" t="s">
        <v>38</v>
      </c>
      <c r="J69" t="s">
        <v>16</v>
      </c>
      <c r="K69" t="s">
        <v>17</v>
      </c>
      <c r="L69" t="str">
        <f t="shared" si="2"/>
        <v>Feb</v>
      </c>
      <c r="M69" t="str">
        <f t="shared" si="3"/>
        <v>Cancelled</v>
      </c>
    </row>
    <row r="70" spans="1:13" x14ac:dyDescent="0.3">
      <c r="A70" t="s">
        <v>122</v>
      </c>
      <c r="B70" s="1">
        <v>45713</v>
      </c>
      <c r="C70" t="s">
        <v>65</v>
      </c>
      <c r="D70" t="s">
        <v>61</v>
      </c>
      <c r="E70" s="2">
        <v>1200</v>
      </c>
      <c r="F70" s="3">
        <v>4</v>
      </c>
      <c r="G70" s="2">
        <v>4800</v>
      </c>
      <c r="H70" t="s">
        <v>51</v>
      </c>
      <c r="I70" t="s">
        <v>46</v>
      </c>
      <c r="J70" t="s">
        <v>58</v>
      </c>
      <c r="K70" t="s">
        <v>23</v>
      </c>
      <c r="L70" t="str">
        <f t="shared" si="2"/>
        <v>Feb</v>
      </c>
      <c r="M70" t="str">
        <f t="shared" si="3"/>
        <v>Pending</v>
      </c>
    </row>
    <row r="71" spans="1:13" x14ac:dyDescent="0.3">
      <c r="A71" t="s">
        <v>123</v>
      </c>
      <c r="B71" s="1">
        <v>45726</v>
      </c>
      <c r="C71" t="s">
        <v>49</v>
      </c>
      <c r="D71" t="s">
        <v>50</v>
      </c>
      <c r="E71" s="2">
        <v>15</v>
      </c>
      <c r="F71" s="3">
        <v>1</v>
      </c>
      <c r="G71" s="2">
        <v>15</v>
      </c>
      <c r="H71" t="s">
        <v>21</v>
      </c>
      <c r="I71" t="s">
        <v>46</v>
      </c>
      <c r="J71" t="s">
        <v>31</v>
      </c>
      <c r="K71" t="s">
        <v>40</v>
      </c>
      <c r="L71" t="str">
        <f t="shared" si="2"/>
        <v>Mar</v>
      </c>
      <c r="M71" t="str">
        <f t="shared" si="3"/>
        <v>Delivered</v>
      </c>
    </row>
    <row r="72" spans="1:13" x14ac:dyDescent="0.3">
      <c r="A72" t="s">
        <v>124</v>
      </c>
      <c r="B72" s="1">
        <v>45732</v>
      </c>
      <c r="C72" t="s">
        <v>33</v>
      </c>
      <c r="D72" t="s">
        <v>20</v>
      </c>
      <c r="E72" s="2">
        <v>150</v>
      </c>
      <c r="F72" s="3">
        <v>5</v>
      </c>
      <c r="G72" s="2">
        <v>750</v>
      </c>
      <c r="H72" t="s">
        <v>25</v>
      </c>
      <c r="I72" t="s">
        <v>26</v>
      </c>
      <c r="J72" t="s">
        <v>31</v>
      </c>
      <c r="K72" t="s">
        <v>23</v>
      </c>
      <c r="L72" t="str">
        <f t="shared" si="2"/>
        <v>Mar</v>
      </c>
      <c r="M72" t="str">
        <f t="shared" si="3"/>
        <v>Pending</v>
      </c>
    </row>
    <row r="73" spans="1:13" x14ac:dyDescent="0.3">
      <c r="A73" t="s">
        <v>125</v>
      </c>
      <c r="B73" s="1">
        <v>45723</v>
      </c>
      <c r="C73" t="s">
        <v>56</v>
      </c>
      <c r="D73" t="s">
        <v>20</v>
      </c>
      <c r="E73" s="2">
        <v>800</v>
      </c>
      <c r="F73" s="3">
        <v>3</v>
      </c>
      <c r="G73" s="2">
        <v>2400</v>
      </c>
      <c r="H73" t="s">
        <v>57</v>
      </c>
      <c r="I73" t="s">
        <v>38</v>
      </c>
      <c r="J73" t="s">
        <v>31</v>
      </c>
      <c r="K73" t="s">
        <v>23</v>
      </c>
      <c r="L73" t="str">
        <f t="shared" si="2"/>
        <v>Mar</v>
      </c>
      <c r="M73" t="str">
        <f t="shared" si="3"/>
        <v>Pending</v>
      </c>
    </row>
    <row r="74" spans="1:13" x14ac:dyDescent="0.3">
      <c r="A74" t="s">
        <v>126</v>
      </c>
      <c r="B74" s="1">
        <v>45708</v>
      </c>
      <c r="C74" t="s">
        <v>42</v>
      </c>
      <c r="D74" t="s">
        <v>20</v>
      </c>
      <c r="E74" s="2">
        <v>500</v>
      </c>
      <c r="F74" s="3">
        <v>5</v>
      </c>
      <c r="G74" s="2">
        <v>2500</v>
      </c>
      <c r="H74" t="s">
        <v>21</v>
      </c>
      <c r="I74" t="s">
        <v>44</v>
      </c>
      <c r="J74" t="s">
        <v>31</v>
      </c>
      <c r="K74" t="s">
        <v>17</v>
      </c>
      <c r="L74" t="str">
        <f t="shared" si="2"/>
        <v>Feb</v>
      </c>
      <c r="M74" t="str">
        <f t="shared" si="3"/>
        <v>Cancelled</v>
      </c>
    </row>
    <row r="75" spans="1:13" x14ac:dyDescent="0.3">
      <c r="A75" t="s">
        <v>127</v>
      </c>
      <c r="B75" s="1">
        <v>45741</v>
      </c>
      <c r="C75" t="s">
        <v>65</v>
      </c>
      <c r="D75" t="s">
        <v>61</v>
      </c>
      <c r="E75" s="2">
        <v>1200</v>
      </c>
      <c r="F75" s="3">
        <v>4</v>
      </c>
      <c r="G75" s="2">
        <v>4800</v>
      </c>
      <c r="H75" t="s">
        <v>80</v>
      </c>
      <c r="I75" t="s">
        <v>30</v>
      </c>
      <c r="J75" t="s">
        <v>58</v>
      </c>
      <c r="K75" t="s">
        <v>17</v>
      </c>
      <c r="L75" t="str">
        <f t="shared" si="2"/>
        <v>Mar</v>
      </c>
      <c r="M75" t="str">
        <f t="shared" si="3"/>
        <v>Cancelled</v>
      </c>
    </row>
    <row r="76" spans="1:13" x14ac:dyDescent="0.3">
      <c r="A76" t="s">
        <v>128</v>
      </c>
      <c r="B76" s="1">
        <v>45714</v>
      </c>
      <c r="C76" t="s">
        <v>19</v>
      </c>
      <c r="D76" t="s">
        <v>20</v>
      </c>
      <c r="E76" s="2">
        <v>100</v>
      </c>
      <c r="F76" s="3">
        <v>2</v>
      </c>
      <c r="G76" s="2">
        <v>200</v>
      </c>
      <c r="H76" t="s">
        <v>57</v>
      </c>
      <c r="I76" t="s">
        <v>46</v>
      </c>
      <c r="J76" t="s">
        <v>39</v>
      </c>
      <c r="K76" t="s">
        <v>23</v>
      </c>
      <c r="L76" t="str">
        <f t="shared" si="2"/>
        <v>Feb</v>
      </c>
      <c r="M76" t="str">
        <f t="shared" si="3"/>
        <v>Pending</v>
      </c>
    </row>
    <row r="77" spans="1:13" x14ac:dyDescent="0.3">
      <c r="A77" t="s">
        <v>129</v>
      </c>
      <c r="B77" s="1">
        <v>45712</v>
      </c>
      <c r="C77" t="s">
        <v>60</v>
      </c>
      <c r="D77" t="s">
        <v>61</v>
      </c>
      <c r="E77" s="2">
        <v>600</v>
      </c>
      <c r="F77" s="3">
        <v>1</v>
      </c>
      <c r="G77" s="2">
        <v>600</v>
      </c>
      <c r="H77" t="s">
        <v>80</v>
      </c>
      <c r="I77" t="s">
        <v>30</v>
      </c>
      <c r="J77" t="s">
        <v>27</v>
      </c>
      <c r="K77" t="s">
        <v>40</v>
      </c>
      <c r="L77" t="str">
        <f t="shared" si="2"/>
        <v>Feb</v>
      </c>
      <c r="M77" t="str">
        <f t="shared" si="3"/>
        <v>Delivered</v>
      </c>
    </row>
    <row r="78" spans="1:13" x14ac:dyDescent="0.3">
      <c r="A78" t="s">
        <v>130</v>
      </c>
      <c r="B78" s="1">
        <v>45736</v>
      </c>
      <c r="C78" t="s">
        <v>19</v>
      </c>
      <c r="D78" t="s">
        <v>20</v>
      </c>
      <c r="E78" s="2">
        <v>100</v>
      </c>
      <c r="F78" s="3">
        <v>2</v>
      </c>
      <c r="G78" s="2">
        <v>200</v>
      </c>
      <c r="H78" t="s">
        <v>57</v>
      </c>
      <c r="I78" t="s">
        <v>38</v>
      </c>
      <c r="J78" t="s">
        <v>31</v>
      </c>
      <c r="K78" t="s">
        <v>40</v>
      </c>
      <c r="L78" t="str">
        <f t="shared" si="2"/>
        <v>Mar</v>
      </c>
      <c r="M78" t="str">
        <f t="shared" si="3"/>
        <v>Delivered</v>
      </c>
    </row>
    <row r="79" spans="1:13" x14ac:dyDescent="0.3">
      <c r="A79" t="s">
        <v>131</v>
      </c>
      <c r="B79" s="1">
        <v>45734</v>
      </c>
      <c r="C79" t="s">
        <v>33</v>
      </c>
      <c r="D79" t="s">
        <v>20</v>
      </c>
      <c r="E79" s="2">
        <v>150</v>
      </c>
      <c r="F79" s="3">
        <v>2</v>
      </c>
      <c r="G79" s="2">
        <v>300</v>
      </c>
      <c r="H79" t="s">
        <v>14</v>
      </c>
      <c r="I79" t="s">
        <v>68</v>
      </c>
      <c r="J79" t="s">
        <v>58</v>
      </c>
      <c r="K79" t="s">
        <v>17</v>
      </c>
      <c r="L79" t="str">
        <f t="shared" si="2"/>
        <v>Mar</v>
      </c>
      <c r="M79" t="str">
        <f t="shared" si="3"/>
        <v>Cancelled</v>
      </c>
    </row>
    <row r="80" spans="1:13" x14ac:dyDescent="0.3">
      <c r="A80" t="s">
        <v>132</v>
      </c>
      <c r="B80" s="1">
        <v>45725</v>
      </c>
      <c r="C80" t="s">
        <v>12</v>
      </c>
      <c r="D80" t="s">
        <v>13</v>
      </c>
      <c r="E80" s="2">
        <v>60</v>
      </c>
      <c r="F80" s="3">
        <v>2</v>
      </c>
      <c r="G80" s="2">
        <v>120</v>
      </c>
      <c r="H80" t="s">
        <v>21</v>
      </c>
      <c r="I80" t="s">
        <v>26</v>
      </c>
      <c r="J80" t="s">
        <v>58</v>
      </c>
      <c r="K80" t="s">
        <v>17</v>
      </c>
      <c r="L80" t="str">
        <f t="shared" si="2"/>
        <v>Mar</v>
      </c>
      <c r="M80" t="str">
        <f t="shared" si="3"/>
        <v>Cancelled</v>
      </c>
    </row>
    <row r="81" spans="1:13" x14ac:dyDescent="0.3">
      <c r="A81" t="s">
        <v>133</v>
      </c>
      <c r="B81" s="1">
        <v>45711</v>
      </c>
      <c r="C81" t="s">
        <v>12</v>
      </c>
      <c r="D81" t="s">
        <v>13</v>
      </c>
      <c r="E81" s="2">
        <v>60</v>
      </c>
      <c r="F81" s="3">
        <v>4</v>
      </c>
      <c r="G81" s="2">
        <v>240</v>
      </c>
      <c r="H81" t="s">
        <v>43</v>
      </c>
      <c r="I81" t="s">
        <v>22</v>
      </c>
      <c r="J81" t="s">
        <v>16</v>
      </c>
      <c r="K81" t="s">
        <v>23</v>
      </c>
      <c r="L81" t="str">
        <f t="shared" si="2"/>
        <v>Feb</v>
      </c>
      <c r="M81" t="str">
        <f t="shared" si="3"/>
        <v>Pending</v>
      </c>
    </row>
    <row r="82" spans="1:13" x14ac:dyDescent="0.3">
      <c r="A82" t="s">
        <v>134</v>
      </c>
      <c r="B82" s="1">
        <v>45714</v>
      </c>
      <c r="C82" t="s">
        <v>19</v>
      </c>
      <c r="D82" t="s">
        <v>20</v>
      </c>
      <c r="E82" s="2">
        <v>100</v>
      </c>
      <c r="F82" s="3">
        <v>3</v>
      </c>
      <c r="G82" s="2">
        <v>300</v>
      </c>
      <c r="H82" t="s">
        <v>54</v>
      </c>
      <c r="I82" t="s">
        <v>81</v>
      </c>
      <c r="J82" t="s">
        <v>39</v>
      </c>
      <c r="K82" t="s">
        <v>17</v>
      </c>
      <c r="L82" t="str">
        <f t="shared" si="2"/>
        <v>Feb</v>
      </c>
      <c r="M82" t="str">
        <f t="shared" si="3"/>
        <v>Cancelled</v>
      </c>
    </row>
    <row r="83" spans="1:13" x14ac:dyDescent="0.3">
      <c r="A83" t="s">
        <v>135</v>
      </c>
      <c r="B83" s="1">
        <v>45712</v>
      </c>
      <c r="C83" t="s">
        <v>42</v>
      </c>
      <c r="D83" t="s">
        <v>20</v>
      </c>
      <c r="E83" s="2">
        <v>500</v>
      </c>
      <c r="F83" s="3">
        <v>3</v>
      </c>
      <c r="G83" s="2">
        <v>1500</v>
      </c>
      <c r="H83" t="s">
        <v>80</v>
      </c>
      <c r="I83" t="s">
        <v>63</v>
      </c>
      <c r="J83" t="s">
        <v>16</v>
      </c>
      <c r="K83" t="s">
        <v>17</v>
      </c>
      <c r="L83" t="str">
        <f t="shared" si="2"/>
        <v>Feb</v>
      </c>
      <c r="M83" t="str">
        <f t="shared" si="3"/>
        <v>Cancelled</v>
      </c>
    </row>
    <row r="84" spans="1:13" x14ac:dyDescent="0.3">
      <c r="A84" t="s">
        <v>136</v>
      </c>
      <c r="B84" s="1">
        <v>45716</v>
      </c>
      <c r="C84" t="s">
        <v>60</v>
      </c>
      <c r="D84" t="s">
        <v>61</v>
      </c>
      <c r="E84" s="2">
        <v>600</v>
      </c>
      <c r="F84" s="3">
        <v>4</v>
      </c>
      <c r="G84" s="2">
        <v>2400</v>
      </c>
      <c r="H84" t="s">
        <v>14</v>
      </c>
      <c r="I84" t="s">
        <v>38</v>
      </c>
      <c r="J84" t="s">
        <v>58</v>
      </c>
      <c r="K84" t="s">
        <v>17</v>
      </c>
      <c r="L84" t="str">
        <f t="shared" si="2"/>
        <v>Feb</v>
      </c>
      <c r="M84" t="str">
        <f t="shared" si="3"/>
        <v>Cancelled</v>
      </c>
    </row>
    <row r="85" spans="1:13" x14ac:dyDescent="0.3">
      <c r="A85" t="s">
        <v>137</v>
      </c>
      <c r="B85" s="1">
        <v>45702</v>
      </c>
      <c r="C85" t="s">
        <v>35</v>
      </c>
      <c r="D85" t="s">
        <v>36</v>
      </c>
      <c r="E85" s="2">
        <v>20</v>
      </c>
      <c r="F85" s="3">
        <v>5</v>
      </c>
      <c r="G85" s="2">
        <v>100</v>
      </c>
      <c r="H85" t="s">
        <v>29</v>
      </c>
      <c r="I85" t="s">
        <v>46</v>
      </c>
      <c r="J85" t="s">
        <v>39</v>
      </c>
      <c r="K85" t="s">
        <v>40</v>
      </c>
      <c r="L85" t="str">
        <f t="shared" si="2"/>
        <v>Feb</v>
      </c>
      <c r="M85" t="str">
        <f t="shared" si="3"/>
        <v>Delivered</v>
      </c>
    </row>
    <row r="86" spans="1:13" x14ac:dyDescent="0.3">
      <c r="A86" t="s">
        <v>138</v>
      </c>
      <c r="B86" s="1">
        <v>45694</v>
      </c>
      <c r="C86" t="s">
        <v>42</v>
      </c>
      <c r="D86" t="s">
        <v>20</v>
      </c>
      <c r="E86" s="2">
        <v>500</v>
      </c>
      <c r="F86" s="3">
        <v>5</v>
      </c>
      <c r="G86" s="2">
        <v>2500</v>
      </c>
      <c r="H86" t="s">
        <v>54</v>
      </c>
      <c r="I86" t="s">
        <v>38</v>
      </c>
      <c r="J86" t="s">
        <v>39</v>
      </c>
      <c r="K86" t="s">
        <v>40</v>
      </c>
      <c r="L86" t="str">
        <f t="shared" si="2"/>
        <v>Feb</v>
      </c>
      <c r="M86" t="str">
        <f t="shared" si="3"/>
        <v>Delivered</v>
      </c>
    </row>
    <row r="87" spans="1:13" x14ac:dyDescent="0.3">
      <c r="A87" t="s">
        <v>139</v>
      </c>
      <c r="B87" s="1">
        <v>45713</v>
      </c>
      <c r="C87" t="s">
        <v>33</v>
      </c>
      <c r="D87" t="s">
        <v>20</v>
      </c>
      <c r="E87" s="2">
        <v>150</v>
      </c>
      <c r="F87" s="3">
        <v>5</v>
      </c>
      <c r="G87" s="2">
        <v>750</v>
      </c>
      <c r="H87" t="s">
        <v>80</v>
      </c>
      <c r="I87" t="s">
        <v>30</v>
      </c>
      <c r="J87" t="s">
        <v>39</v>
      </c>
      <c r="K87" t="s">
        <v>17</v>
      </c>
      <c r="L87" t="str">
        <f t="shared" si="2"/>
        <v>Feb</v>
      </c>
      <c r="M87" t="str">
        <f t="shared" si="3"/>
        <v>Cancelled</v>
      </c>
    </row>
    <row r="88" spans="1:13" x14ac:dyDescent="0.3">
      <c r="A88" t="s">
        <v>140</v>
      </c>
      <c r="B88" s="1">
        <v>45729</v>
      </c>
      <c r="C88" t="s">
        <v>12</v>
      </c>
      <c r="D88" t="s">
        <v>13</v>
      </c>
      <c r="E88" s="2">
        <v>60</v>
      </c>
      <c r="F88" s="3">
        <v>5</v>
      </c>
      <c r="G88" s="2">
        <v>300</v>
      </c>
      <c r="H88" t="s">
        <v>14</v>
      </c>
      <c r="I88" t="s">
        <v>44</v>
      </c>
      <c r="J88" t="s">
        <v>16</v>
      </c>
      <c r="K88" t="s">
        <v>40</v>
      </c>
      <c r="L88" t="str">
        <f t="shared" si="2"/>
        <v>Mar</v>
      </c>
      <c r="M88" t="str">
        <f t="shared" si="3"/>
        <v>Delivered</v>
      </c>
    </row>
    <row r="89" spans="1:13" x14ac:dyDescent="0.3">
      <c r="A89" t="s">
        <v>141</v>
      </c>
      <c r="B89" s="1">
        <v>45694</v>
      </c>
      <c r="C89" t="s">
        <v>65</v>
      </c>
      <c r="D89" t="s">
        <v>61</v>
      </c>
      <c r="E89" s="2">
        <v>1200</v>
      </c>
      <c r="F89" s="3">
        <v>2</v>
      </c>
      <c r="G89" s="2">
        <v>2400</v>
      </c>
      <c r="H89" t="s">
        <v>72</v>
      </c>
      <c r="I89" t="s">
        <v>63</v>
      </c>
      <c r="J89" t="s">
        <v>16</v>
      </c>
      <c r="K89" t="s">
        <v>23</v>
      </c>
      <c r="L89" t="str">
        <f t="shared" si="2"/>
        <v>Feb</v>
      </c>
      <c r="M89" t="str">
        <f t="shared" si="3"/>
        <v>Pending</v>
      </c>
    </row>
    <row r="90" spans="1:13" x14ac:dyDescent="0.3">
      <c r="A90" t="s">
        <v>142</v>
      </c>
      <c r="B90" s="1">
        <v>45742</v>
      </c>
      <c r="C90" t="s">
        <v>12</v>
      </c>
      <c r="D90" t="s">
        <v>13</v>
      </c>
      <c r="E90" s="2">
        <v>60</v>
      </c>
      <c r="F90" s="3">
        <v>5</v>
      </c>
      <c r="G90" s="2">
        <v>300</v>
      </c>
      <c r="H90" t="s">
        <v>14</v>
      </c>
      <c r="I90" t="s">
        <v>68</v>
      </c>
      <c r="J90" t="s">
        <v>31</v>
      </c>
      <c r="K90" t="s">
        <v>17</v>
      </c>
      <c r="L90" t="str">
        <f t="shared" si="2"/>
        <v>Mar</v>
      </c>
      <c r="M90" t="str">
        <f t="shared" si="3"/>
        <v>Cancelled</v>
      </c>
    </row>
    <row r="91" spans="1:13" x14ac:dyDescent="0.3">
      <c r="A91" t="s">
        <v>143</v>
      </c>
      <c r="B91" s="1">
        <v>45740</v>
      </c>
      <c r="C91" t="s">
        <v>33</v>
      </c>
      <c r="D91" t="s">
        <v>20</v>
      </c>
      <c r="E91" s="2">
        <v>150</v>
      </c>
      <c r="F91" s="3">
        <v>5</v>
      </c>
      <c r="G91" s="2">
        <v>750</v>
      </c>
      <c r="H91" t="s">
        <v>21</v>
      </c>
      <c r="I91" t="s">
        <v>38</v>
      </c>
      <c r="J91" t="s">
        <v>27</v>
      </c>
      <c r="K91" t="s">
        <v>40</v>
      </c>
      <c r="L91" t="str">
        <f t="shared" si="2"/>
        <v>Mar</v>
      </c>
      <c r="M91" t="str">
        <f t="shared" si="3"/>
        <v>Delivered</v>
      </c>
    </row>
    <row r="92" spans="1:13" x14ac:dyDescent="0.3">
      <c r="A92" t="s">
        <v>144</v>
      </c>
      <c r="B92" s="1">
        <v>45691</v>
      </c>
      <c r="C92" t="s">
        <v>56</v>
      </c>
      <c r="D92" t="s">
        <v>20</v>
      </c>
      <c r="E92" s="2">
        <v>800</v>
      </c>
      <c r="F92" s="3">
        <v>4</v>
      </c>
      <c r="G92" s="2">
        <v>3200</v>
      </c>
      <c r="H92" t="s">
        <v>57</v>
      </c>
      <c r="I92" t="s">
        <v>38</v>
      </c>
      <c r="J92" t="s">
        <v>58</v>
      </c>
      <c r="K92" t="s">
        <v>23</v>
      </c>
      <c r="L92" t="str">
        <f t="shared" si="2"/>
        <v>Feb</v>
      </c>
      <c r="M92" t="str">
        <f t="shared" si="3"/>
        <v>Pending</v>
      </c>
    </row>
    <row r="93" spans="1:13" x14ac:dyDescent="0.3">
      <c r="A93" t="s">
        <v>145</v>
      </c>
      <c r="B93" s="1">
        <v>45731</v>
      </c>
      <c r="C93" t="s">
        <v>42</v>
      </c>
      <c r="D93" t="s">
        <v>20</v>
      </c>
      <c r="E93" s="2">
        <v>500</v>
      </c>
      <c r="F93" s="3">
        <v>2</v>
      </c>
      <c r="G93" s="2">
        <v>1000</v>
      </c>
      <c r="H93" t="s">
        <v>29</v>
      </c>
      <c r="I93" t="s">
        <v>46</v>
      </c>
      <c r="J93" t="s">
        <v>39</v>
      </c>
      <c r="K93" t="s">
        <v>17</v>
      </c>
      <c r="L93" t="str">
        <f t="shared" si="2"/>
        <v>Mar</v>
      </c>
      <c r="M93" t="str">
        <f t="shared" si="3"/>
        <v>Cancelled</v>
      </c>
    </row>
    <row r="94" spans="1:13" x14ac:dyDescent="0.3">
      <c r="A94" t="s">
        <v>146</v>
      </c>
      <c r="B94" s="1">
        <v>45722</v>
      </c>
      <c r="C94" t="s">
        <v>65</v>
      </c>
      <c r="D94" t="s">
        <v>61</v>
      </c>
      <c r="E94" s="2">
        <v>1200</v>
      </c>
      <c r="F94" s="3">
        <v>5</v>
      </c>
      <c r="G94" s="2">
        <v>6000</v>
      </c>
      <c r="H94" t="s">
        <v>51</v>
      </c>
      <c r="I94" t="s">
        <v>26</v>
      </c>
      <c r="J94" t="s">
        <v>39</v>
      </c>
      <c r="K94" t="s">
        <v>17</v>
      </c>
      <c r="L94" t="str">
        <f t="shared" si="2"/>
        <v>Mar</v>
      </c>
      <c r="M94" t="str">
        <f t="shared" si="3"/>
        <v>Cancelled</v>
      </c>
    </row>
    <row r="95" spans="1:13" x14ac:dyDescent="0.3">
      <c r="A95" t="s">
        <v>147</v>
      </c>
      <c r="B95" s="1">
        <v>45741</v>
      </c>
      <c r="C95" t="s">
        <v>53</v>
      </c>
      <c r="D95" t="s">
        <v>36</v>
      </c>
      <c r="E95" s="2">
        <v>40</v>
      </c>
      <c r="F95" s="3">
        <v>5</v>
      </c>
      <c r="G95" s="2">
        <v>200</v>
      </c>
      <c r="H95" t="s">
        <v>57</v>
      </c>
      <c r="I95" t="s">
        <v>63</v>
      </c>
      <c r="J95" t="s">
        <v>31</v>
      </c>
      <c r="K95" t="s">
        <v>17</v>
      </c>
      <c r="L95" t="str">
        <f t="shared" si="2"/>
        <v>Mar</v>
      </c>
      <c r="M95" t="str">
        <f t="shared" si="3"/>
        <v>Cancelled</v>
      </c>
    </row>
    <row r="96" spans="1:13" x14ac:dyDescent="0.3">
      <c r="A96" t="s">
        <v>148</v>
      </c>
      <c r="B96" s="1">
        <v>45705</v>
      </c>
      <c r="C96" t="s">
        <v>33</v>
      </c>
      <c r="D96" t="s">
        <v>20</v>
      </c>
      <c r="E96" s="2">
        <v>150</v>
      </c>
      <c r="F96" s="3">
        <v>4</v>
      </c>
      <c r="G96" s="2">
        <v>600</v>
      </c>
      <c r="H96" t="s">
        <v>72</v>
      </c>
      <c r="I96" t="s">
        <v>15</v>
      </c>
      <c r="J96" t="s">
        <v>16</v>
      </c>
      <c r="K96" t="s">
        <v>17</v>
      </c>
      <c r="L96" t="str">
        <f t="shared" si="2"/>
        <v>Feb</v>
      </c>
      <c r="M96" t="str">
        <f t="shared" si="3"/>
        <v>Cancelled</v>
      </c>
    </row>
    <row r="97" spans="1:13" x14ac:dyDescent="0.3">
      <c r="A97" t="s">
        <v>149</v>
      </c>
      <c r="B97" s="1">
        <v>45746</v>
      </c>
      <c r="C97" t="s">
        <v>33</v>
      </c>
      <c r="D97" t="s">
        <v>20</v>
      </c>
      <c r="E97" s="2">
        <v>150</v>
      </c>
      <c r="F97" s="3">
        <v>3</v>
      </c>
      <c r="G97" s="2">
        <v>450</v>
      </c>
      <c r="H97" t="s">
        <v>80</v>
      </c>
      <c r="I97" t="s">
        <v>15</v>
      </c>
      <c r="J97" t="s">
        <v>27</v>
      </c>
      <c r="K97" t="s">
        <v>40</v>
      </c>
      <c r="L97" t="str">
        <f t="shared" si="2"/>
        <v>Mar</v>
      </c>
      <c r="M97" t="str">
        <f t="shared" si="3"/>
        <v>Delivered</v>
      </c>
    </row>
    <row r="98" spans="1:13" x14ac:dyDescent="0.3">
      <c r="A98" t="s">
        <v>150</v>
      </c>
      <c r="B98" s="1">
        <v>45741</v>
      </c>
      <c r="C98" t="s">
        <v>49</v>
      </c>
      <c r="D98" t="s">
        <v>50</v>
      </c>
      <c r="E98" s="2">
        <v>15</v>
      </c>
      <c r="F98" s="3">
        <v>5</v>
      </c>
      <c r="G98" s="2">
        <v>75</v>
      </c>
      <c r="H98" t="s">
        <v>29</v>
      </c>
      <c r="I98" t="s">
        <v>81</v>
      </c>
      <c r="J98" t="s">
        <v>27</v>
      </c>
      <c r="K98" t="s">
        <v>23</v>
      </c>
      <c r="L98" t="str">
        <f t="shared" si="2"/>
        <v>Mar</v>
      </c>
      <c r="M98" t="str">
        <f t="shared" si="3"/>
        <v>Pending</v>
      </c>
    </row>
    <row r="99" spans="1:13" x14ac:dyDescent="0.3">
      <c r="A99" t="s">
        <v>151</v>
      </c>
      <c r="B99" s="1">
        <v>45702</v>
      </c>
      <c r="C99" t="s">
        <v>33</v>
      </c>
      <c r="D99" t="s">
        <v>20</v>
      </c>
      <c r="E99" s="2">
        <v>150</v>
      </c>
      <c r="F99" s="3">
        <v>2</v>
      </c>
      <c r="G99" s="2">
        <v>300</v>
      </c>
      <c r="H99" t="s">
        <v>72</v>
      </c>
      <c r="I99" t="s">
        <v>44</v>
      </c>
      <c r="J99" t="s">
        <v>39</v>
      </c>
      <c r="K99" t="s">
        <v>23</v>
      </c>
      <c r="L99" t="str">
        <f t="shared" si="2"/>
        <v>Feb</v>
      </c>
      <c r="M99" t="str">
        <f t="shared" si="3"/>
        <v>Pending</v>
      </c>
    </row>
    <row r="100" spans="1:13" x14ac:dyDescent="0.3">
      <c r="A100" t="s">
        <v>152</v>
      </c>
      <c r="B100" s="1">
        <v>45706</v>
      </c>
      <c r="C100" t="s">
        <v>60</v>
      </c>
      <c r="D100" t="s">
        <v>61</v>
      </c>
      <c r="E100" s="2">
        <v>600</v>
      </c>
      <c r="F100" s="3">
        <v>5</v>
      </c>
      <c r="G100" s="2">
        <v>3000</v>
      </c>
      <c r="H100" t="s">
        <v>54</v>
      </c>
      <c r="I100" t="s">
        <v>63</v>
      </c>
      <c r="J100" t="s">
        <v>16</v>
      </c>
      <c r="K100" t="s">
        <v>40</v>
      </c>
      <c r="L100" t="str">
        <f t="shared" si="2"/>
        <v>Feb</v>
      </c>
      <c r="M100" t="str">
        <f t="shared" si="3"/>
        <v>Delivered</v>
      </c>
    </row>
    <row r="101" spans="1:13" x14ac:dyDescent="0.3">
      <c r="A101" t="s">
        <v>153</v>
      </c>
      <c r="B101" s="1">
        <v>45701</v>
      </c>
      <c r="C101" t="s">
        <v>12</v>
      </c>
      <c r="D101" t="s">
        <v>13</v>
      </c>
      <c r="E101" s="2">
        <v>60</v>
      </c>
      <c r="F101" s="3">
        <v>1</v>
      </c>
      <c r="G101" s="2">
        <v>60</v>
      </c>
      <c r="H101" t="s">
        <v>80</v>
      </c>
      <c r="I101" t="s">
        <v>38</v>
      </c>
      <c r="J101" t="s">
        <v>58</v>
      </c>
      <c r="K101" t="s">
        <v>17</v>
      </c>
      <c r="L101" t="str">
        <f t="shared" si="2"/>
        <v>Feb</v>
      </c>
      <c r="M101" t="str">
        <f t="shared" si="3"/>
        <v>Cancelled</v>
      </c>
    </row>
    <row r="102" spans="1:13" x14ac:dyDescent="0.3">
      <c r="A102" t="s">
        <v>154</v>
      </c>
      <c r="B102" s="1">
        <v>45708</v>
      </c>
      <c r="C102" t="s">
        <v>49</v>
      </c>
      <c r="D102" t="s">
        <v>50</v>
      </c>
      <c r="E102" s="2">
        <v>15</v>
      </c>
      <c r="F102" s="3">
        <v>5</v>
      </c>
      <c r="G102" s="2">
        <v>75</v>
      </c>
      <c r="H102" t="s">
        <v>25</v>
      </c>
      <c r="I102" t="s">
        <v>26</v>
      </c>
      <c r="J102" t="s">
        <v>39</v>
      </c>
      <c r="K102" t="s">
        <v>23</v>
      </c>
      <c r="L102" t="str">
        <f t="shared" si="2"/>
        <v>Feb</v>
      </c>
      <c r="M102" t="str">
        <f t="shared" si="3"/>
        <v>Pending</v>
      </c>
    </row>
    <row r="103" spans="1:13" x14ac:dyDescent="0.3">
      <c r="A103" t="s">
        <v>155</v>
      </c>
      <c r="B103" s="1">
        <v>45716</v>
      </c>
      <c r="C103" t="s">
        <v>42</v>
      </c>
      <c r="D103" t="s">
        <v>20</v>
      </c>
      <c r="E103" s="2">
        <v>500</v>
      </c>
      <c r="F103" s="3">
        <v>2</v>
      </c>
      <c r="G103" s="2">
        <v>1000</v>
      </c>
      <c r="H103" t="s">
        <v>51</v>
      </c>
      <c r="I103" t="s">
        <v>46</v>
      </c>
      <c r="J103" t="s">
        <v>39</v>
      </c>
      <c r="K103" t="s">
        <v>23</v>
      </c>
      <c r="L103" t="str">
        <f t="shared" si="2"/>
        <v>Feb</v>
      </c>
      <c r="M103" t="str">
        <f t="shared" si="3"/>
        <v>Pending</v>
      </c>
    </row>
    <row r="104" spans="1:13" x14ac:dyDescent="0.3">
      <c r="A104" t="s">
        <v>156</v>
      </c>
      <c r="B104" s="1">
        <v>45730</v>
      </c>
      <c r="C104" t="s">
        <v>35</v>
      </c>
      <c r="D104" t="s">
        <v>36</v>
      </c>
      <c r="E104" s="2">
        <v>20</v>
      </c>
      <c r="F104" s="3">
        <v>2</v>
      </c>
      <c r="G104" s="2">
        <v>40</v>
      </c>
      <c r="H104" t="s">
        <v>54</v>
      </c>
      <c r="I104" t="s">
        <v>81</v>
      </c>
      <c r="J104" t="s">
        <v>39</v>
      </c>
      <c r="K104" t="s">
        <v>23</v>
      </c>
      <c r="L104" t="str">
        <f t="shared" si="2"/>
        <v>Mar</v>
      </c>
      <c r="M104" t="str">
        <f t="shared" si="3"/>
        <v>Pending</v>
      </c>
    </row>
    <row r="105" spans="1:13" x14ac:dyDescent="0.3">
      <c r="A105" t="s">
        <v>157</v>
      </c>
      <c r="B105" s="1">
        <v>45710</v>
      </c>
      <c r="C105" t="s">
        <v>53</v>
      </c>
      <c r="D105" t="s">
        <v>36</v>
      </c>
      <c r="E105" s="2">
        <v>40</v>
      </c>
      <c r="F105" s="3">
        <v>5</v>
      </c>
      <c r="G105" s="2">
        <v>200</v>
      </c>
      <c r="H105" t="s">
        <v>80</v>
      </c>
      <c r="I105" t="s">
        <v>30</v>
      </c>
      <c r="J105" t="s">
        <v>16</v>
      </c>
      <c r="K105" t="s">
        <v>23</v>
      </c>
      <c r="L105" t="str">
        <f t="shared" si="2"/>
        <v>Feb</v>
      </c>
      <c r="M105" t="str">
        <f t="shared" si="3"/>
        <v>Pending</v>
      </c>
    </row>
    <row r="106" spans="1:13" x14ac:dyDescent="0.3">
      <c r="A106" t="s">
        <v>158</v>
      </c>
      <c r="B106" s="1">
        <v>45732</v>
      </c>
      <c r="C106" t="s">
        <v>53</v>
      </c>
      <c r="D106" t="s">
        <v>36</v>
      </c>
      <c r="E106" s="2">
        <v>40</v>
      </c>
      <c r="F106" s="3">
        <v>1</v>
      </c>
      <c r="G106" s="2">
        <v>40</v>
      </c>
      <c r="H106" t="s">
        <v>80</v>
      </c>
      <c r="I106" t="s">
        <v>46</v>
      </c>
      <c r="J106" t="s">
        <v>16</v>
      </c>
      <c r="K106" t="s">
        <v>23</v>
      </c>
      <c r="L106" t="str">
        <f t="shared" si="2"/>
        <v>Mar</v>
      </c>
      <c r="M106" t="str">
        <f t="shared" si="3"/>
        <v>Pending</v>
      </c>
    </row>
    <row r="107" spans="1:13" x14ac:dyDescent="0.3">
      <c r="A107" t="s">
        <v>159</v>
      </c>
      <c r="B107" s="1">
        <v>45731</v>
      </c>
      <c r="C107" t="s">
        <v>35</v>
      </c>
      <c r="D107" t="s">
        <v>36</v>
      </c>
      <c r="E107" s="2">
        <v>20</v>
      </c>
      <c r="F107" s="3">
        <v>3</v>
      </c>
      <c r="G107" s="2">
        <v>60</v>
      </c>
      <c r="H107" t="s">
        <v>29</v>
      </c>
      <c r="I107" t="s">
        <v>81</v>
      </c>
      <c r="J107" t="s">
        <v>39</v>
      </c>
      <c r="K107" t="s">
        <v>23</v>
      </c>
      <c r="L107" t="str">
        <f t="shared" si="2"/>
        <v>Mar</v>
      </c>
      <c r="M107" t="str">
        <f t="shared" si="3"/>
        <v>Pending</v>
      </c>
    </row>
    <row r="108" spans="1:13" x14ac:dyDescent="0.3">
      <c r="A108" t="s">
        <v>160</v>
      </c>
      <c r="B108" s="1">
        <v>45735</v>
      </c>
      <c r="C108" t="s">
        <v>53</v>
      </c>
      <c r="D108" t="s">
        <v>36</v>
      </c>
      <c r="E108" s="2">
        <v>40</v>
      </c>
      <c r="F108" s="3">
        <v>3</v>
      </c>
      <c r="G108" s="2">
        <v>120</v>
      </c>
      <c r="H108" t="s">
        <v>29</v>
      </c>
      <c r="I108" t="s">
        <v>30</v>
      </c>
      <c r="J108" t="s">
        <v>31</v>
      </c>
      <c r="K108" t="s">
        <v>17</v>
      </c>
      <c r="L108" t="str">
        <f t="shared" si="2"/>
        <v>Mar</v>
      </c>
      <c r="M108" t="str">
        <f t="shared" si="3"/>
        <v>Cancelled</v>
      </c>
    </row>
    <row r="109" spans="1:13" x14ac:dyDescent="0.3">
      <c r="A109" t="s">
        <v>161</v>
      </c>
      <c r="B109" s="1">
        <v>45732</v>
      </c>
      <c r="C109" t="s">
        <v>19</v>
      </c>
      <c r="D109" t="s">
        <v>20</v>
      </c>
      <c r="E109" s="2">
        <v>100</v>
      </c>
      <c r="F109" s="3">
        <v>2</v>
      </c>
      <c r="G109" s="2">
        <v>200</v>
      </c>
      <c r="H109" t="s">
        <v>57</v>
      </c>
      <c r="I109" t="s">
        <v>44</v>
      </c>
      <c r="J109" t="s">
        <v>39</v>
      </c>
      <c r="K109" t="s">
        <v>23</v>
      </c>
      <c r="L109" t="str">
        <f t="shared" si="2"/>
        <v>Mar</v>
      </c>
      <c r="M109" t="str">
        <f t="shared" si="3"/>
        <v>Pending</v>
      </c>
    </row>
    <row r="110" spans="1:13" x14ac:dyDescent="0.3">
      <c r="A110" t="s">
        <v>162</v>
      </c>
      <c r="B110" s="1">
        <v>45733</v>
      </c>
      <c r="C110" t="s">
        <v>53</v>
      </c>
      <c r="D110" t="s">
        <v>36</v>
      </c>
      <c r="E110" s="2">
        <v>40</v>
      </c>
      <c r="F110" s="3">
        <v>5</v>
      </c>
      <c r="G110" s="2">
        <v>200</v>
      </c>
      <c r="H110" t="s">
        <v>54</v>
      </c>
      <c r="I110" t="s">
        <v>15</v>
      </c>
      <c r="J110" t="s">
        <v>39</v>
      </c>
      <c r="K110" t="s">
        <v>40</v>
      </c>
      <c r="L110" t="str">
        <f t="shared" si="2"/>
        <v>Mar</v>
      </c>
      <c r="M110" t="str">
        <f t="shared" si="3"/>
        <v>Delivered</v>
      </c>
    </row>
    <row r="111" spans="1:13" x14ac:dyDescent="0.3">
      <c r="A111" t="s">
        <v>163</v>
      </c>
      <c r="B111" s="1">
        <v>45706</v>
      </c>
      <c r="C111" t="s">
        <v>42</v>
      </c>
      <c r="D111" t="s">
        <v>20</v>
      </c>
      <c r="E111" s="2">
        <v>500</v>
      </c>
      <c r="F111" s="3">
        <v>5</v>
      </c>
      <c r="G111" s="2">
        <v>2500</v>
      </c>
      <c r="H111" t="s">
        <v>29</v>
      </c>
      <c r="I111" t="s">
        <v>30</v>
      </c>
      <c r="J111" t="s">
        <v>27</v>
      </c>
      <c r="K111" t="s">
        <v>23</v>
      </c>
      <c r="L111" t="str">
        <f t="shared" si="2"/>
        <v>Feb</v>
      </c>
      <c r="M111" t="str">
        <f t="shared" si="3"/>
        <v>Pending</v>
      </c>
    </row>
    <row r="112" spans="1:13" x14ac:dyDescent="0.3">
      <c r="A112" t="s">
        <v>164</v>
      </c>
      <c r="B112" s="1">
        <v>45747</v>
      </c>
      <c r="C112" t="s">
        <v>56</v>
      </c>
      <c r="D112" t="s">
        <v>20</v>
      </c>
      <c r="E112" s="2">
        <v>800</v>
      </c>
      <c r="F112" s="3">
        <v>4</v>
      </c>
      <c r="G112" s="2">
        <v>3200</v>
      </c>
      <c r="H112" t="s">
        <v>14</v>
      </c>
      <c r="I112" t="s">
        <v>68</v>
      </c>
      <c r="J112" t="s">
        <v>31</v>
      </c>
      <c r="K112" t="s">
        <v>40</v>
      </c>
      <c r="L112" t="str">
        <f t="shared" si="2"/>
        <v>Mar</v>
      </c>
      <c r="M112" t="str">
        <f t="shared" si="3"/>
        <v>Delivered</v>
      </c>
    </row>
    <row r="113" spans="1:13" x14ac:dyDescent="0.3">
      <c r="A113" t="s">
        <v>165</v>
      </c>
      <c r="B113" s="1">
        <v>45722</v>
      </c>
      <c r="C113" t="s">
        <v>60</v>
      </c>
      <c r="D113" t="s">
        <v>61</v>
      </c>
      <c r="E113" s="2">
        <v>600</v>
      </c>
      <c r="F113" s="3">
        <v>2</v>
      </c>
      <c r="G113" s="2">
        <v>1200</v>
      </c>
      <c r="H113" t="s">
        <v>51</v>
      </c>
      <c r="I113" t="s">
        <v>30</v>
      </c>
      <c r="J113" t="s">
        <v>58</v>
      </c>
      <c r="K113" t="s">
        <v>17</v>
      </c>
      <c r="L113" t="str">
        <f t="shared" si="2"/>
        <v>Mar</v>
      </c>
      <c r="M113" t="str">
        <f t="shared" si="3"/>
        <v>Cancelled</v>
      </c>
    </row>
    <row r="114" spans="1:13" x14ac:dyDescent="0.3">
      <c r="A114" t="s">
        <v>166</v>
      </c>
      <c r="B114" s="1">
        <v>45735</v>
      </c>
      <c r="C114" t="s">
        <v>49</v>
      </c>
      <c r="D114" t="s">
        <v>50</v>
      </c>
      <c r="E114" s="2">
        <v>15</v>
      </c>
      <c r="F114" s="3">
        <v>5</v>
      </c>
      <c r="G114" s="2">
        <v>75</v>
      </c>
      <c r="H114" t="s">
        <v>51</v>
      </c>
      <c r="I114" t="s">
        <v>22</v>
      </c>
      <c r="J114" t="s">
        <v>16</v>
      </c>
      <c r="K114" t="s">
        <v>23</v>
      </c>
      <c r="L114" t="str">
        <f t="shared" si="2"/>
        <v>Mar</v>
      </c>
      <c r="M114" t="str">
        <f t="shared" si="3"/>
        <v>Pending</v>
      </c>
    </row>
    <row r="115" spans="1:13" x14ac:dyDescent="0.3">
      <c r="A115" t="s">
        <v>167</v>
      </c>
      <c r="B115" s="1">
        <v>45711</v>
      </c>
      <c r="C115" t="s">
        <v>12</v>
      </c>
      <c r="D115" t="s">
        <v>13</v>
      </c>
      <c r="E115" s="2">
        <v>60</v>
      </c>
      <c r="F115" s="3">
        <v>1</v>
      </c>
      <c r="G115" s="2">
        <v>60</v>
      </c>
      <c r="H115" t="s">
        <v>14</v>
      </c>
      <c r="I115" t="s">
        <v>38</v>
      </c>
      <c r="J115" t="s">
        <v>31</v>
      </c>
      <c r="K115" t="s">
        <v>23</v>
      </c>
      <c r="L115" t="str">
        <f t="shared" si="2"/>
        <v>Feb</v>
      </c>
      <c r="M115" t="str">
        <f t="shared" si="3"/>
        <v>Pending</v>
      </c>
    </row>
    <row r="116" spans="1:13" x14ac:dyDescent="0.3">
      <c r="A116" t="s">
        <v>168</v>
      </c>
      <c r="B116" s="1">
        <v>45737</v>
      </c>
      <c r="C116" t="s">
        <v>12</v>
      </c>
      <c r="D116" t="s">
        <v>13</v>
      </c>
      <c r="E116" s="2">
        <v>60</v>
      </c>
      <c r="F116" s="3">
        <v>3</v>
      </c>
      <c r="G116" s="2">
        <v>180</v>
      </c>
      <c r="H116" t="s">
        <v>29</v>
      </c>
      <c r="I116" t="s">
        <v>44</v>
      </c>
      <c r="J116" t="s">
        <v>27</v>
      </c>
      <c r="K116" t="s">
        <v>40</v>
      </c>
      <c r="L116" t="str">
        <f t="shared" si="2"/>
        <v>Mar</v>
      </c>
      <c r="M116" t="str">
        <f t="shared" si="3"/>
        <v>Delivered</v>
      </c>
    </row>
    <row r="117" spans="1:13" x14ac:dyDescent="0.3">
      <c r="A117" t="s">
        <v>169</v>
      </c>
      <c r="B117" s="1">
        <v>45735</v>
      </c>
      <c r="C117" t="s">
        <v>56</v>
      </c>
      <c r="D117" t="s">
        <v>20</v>
      </c>
      <c r="E117" s="2">
        <v>800</v>
      </c>
      <c r="F117" s="3">
        <v>4</v>
      </c>
      <c r="G117" s="2">
        <v>3200</v>
      </c>
      <c r="H117" t="s">
        <v>14</v>
      </c>
      <c r="I117" t="s">
        <v>68</v>
      </c>
      <c r="J117" t="s">
        <v>27</v>
      </c>
      <c r="K117" t="s">
        <v>40</v>
      </c>
      <c r="L117" t="str">
        <f t="shared" si="2"/>
        <v>Mar</v>
      </c>
      <c r="M117" t="str">
        <f t="shared" si="3"/>
        <v>Delivered</v>
      </c>
    </row>
    <row r="118" spans="1:13" x14ac:dyDescent="0.3">
      <c r="A118" t="s">
        <v>170</v>
      </c>
      <c r="B118" s="1">
        <v>45715</v>
      </c>
      <c r="C118" t="s">
        <v>35</v>
      </c>
      <c r="D118" t="s">
        <v>36</v>
      </c>
      <c r="E118" s="2">
        <v>20</v>
      </c>
      <c r="F118" s="3">
        <v>1</v>
      </c>
      <c r="G118" s="2">
        <v>20</v>
      </c>
      <c r="H118" t="s">
        <v>57</v>
      </c>
      <c r="I118" t="s">
        <v>15</v>
      </c>
      <c r="J118" t="s">
        <v>31</v>
      </c>
      <c r="K118" t="s">
        <v>40</v>
      </c>
      <c r="L118" t="str">
        <f t="shared" si="2"/>
        <v>Feb</v>
      </c>
      <c r="M118" t="str">
        <f t="shared" si="3"/>
        <v>Delivered</v>
      </c>
    </row>
    <row r="119" spans="1:13" x14ac:dyDescent="0.3">
      <c r="A119" t="s">
        <v>171</v>
      </c>
      <c r="B119" s="1">
        <v>45698</v>
      </c>
      <c r="C119" t="s">
        <v>19</v>
      </c>
      <c r="D119" t="s">
        <v>20</v>
      </c>
      <c r="E119" s="2">
        <v>100</v>
      </c>
      <c r="F119" s="3">
        <v>5</v>
      </c>
      <c r="G119" s="2">
        <v>500</v>
      </c>
      <c r="H119" t="s">
        <v>25</v>
      </c>
      <c r="I119" t="s">
        <v>38</v>
      </c>
      <c r="J119" t="s">
        <v>27</v>
      </c>
      <c r="K119" t="s">
        <v>40</v>
      </c>
      <c r="L119" t="str">
        <f t="shared" si="2"/>
        <v>Feb</v>
      </c>
      <c r="M119" t="str">
        <f t="shared" si="3"/>
        <v>Delivered</v>
      </c>
    </row>
    <row r="120" spans="1:13" x14ac:dyDescent="0.3">
      <c r="A120" t="s">
        <v>172</v>
      </c>
      <c r="B120" s="1">
        <v>45732</v>
      </c>
      <c r="C120" t="s">
        <v>42</v>
      </c>
      <c r="D120" t="s">
        <v>20</v>
      </c>
      <c r="E120" s="2">
        <v>500</v>
      </c>
      <c r="F120" s="3">
        <v>2</v>
      </c>
      <c r="G120" s="2">
        <v>1000</v>
      </c>
      <c r="H120" t="s">
        <v>72</v>
      </c>
      <c r="I120" t="s">
        <v>81</v>
      </c>
      <c r="J120" t="s">
        <v>39</v>
      </c>
      <c r="K120" t="s">
        <v>23</v>
      </c>
      <c r="L120" t="str">
        <f t="shared" si="2"/>
        <v>Mar</v>
      </c>
      <c r="M120" t="str">
        <f t="shared" si="3"/>
        <v>Pending</v>
      </c>
    </row>
    <row r="121" spans="1:13" x14ac:dyDescent="0.3">
      <c r="A121" t="s">
        <v>173</v>
      </c>
      <c r="B121" s="1">
        <v>45704</v>
      </c>
      <c r="C121" t="s">
        <v>56</v>
      </c>
      <c r="D121" t="s">
        <v>20</v>
      </c>
      <c r="E121" s="2">
        <v>800</v>
      </c>
      <c r="F121" s="3">
        <v>5</v>
      </c>
      <c r="G121" s="2">
        <v>4000</v>
      </c>
      <c r="H121" t="s">
        <v>21</v>
      </c>
      <c r="I121" t="s">
        <v>26</v>
      </c>
      <c r="J121" t="s">
        <v>39</v>
      </c>
      <c r="K121" t="s">
        <v>40</v>
      </c>
      <c r="L121" t="str">
        <f t="shared" si="2"/>
        <v>Feb</v>
      </c>
      <c r="M121" t="str">
        <f t="shared" si="3"/>
        <v>Delivered</v>
      </c>
    </row>
    <row r="122" spans="1:13" x14ac:dyDescent="0.3">
      <c r="A122" t="s">
        <v>174</v>
      </c>
      <c r="B122" s="1">
        <v>45706</v>
      </c>
      <c r="C122" t="s">
        <v>42</v>
      </c>
      <c r="D122" t="s">
        <v>20</v>
      </c>
      <c r="E122" s="2">
        <v>500</v>
      </c>
      <c r="F122" s="3">
        <v>1</v>
      </c>
      <c r="G122" s="2">
        <v>500</v>
      </c>
      <c r="H122" t="s">
        <v>25</v>
      </c>
      <c r="I122" t="s">
        <v>30</v>
      </c>
      <c r="J122" t="s">
        <v>58</v>
      </c>
      <c r="K122" t="s">
        <v>23</v>
      </c>
      <c r="L122" t="str">
        <f t="shared" si="2"/>
        <v>Feb</v>
      </c>
      <c r="M122" t="str">
        <f t="shared" si="3"/>
        <v>Pending</v>
      </c>
    </row>
    <row r="123" spans="1:13" x14ac:dyDescent="0.3">
      <c r="A123" t="s">
        <v>175</v>
      </c>
      <c r="B123" s="1">
        <v>45744</v>
      </c>
      <c r="C123" t="s">
        <v>56</v>
      </c>
      <c r="D123" t="s">
        <v>20</v>
      </c>
      <c r="E123" s="2">
        <v>800</v>
      </c>
      <c r="F123" s="3">
        <v>3</v>
      </c>
      <c r="G123" s="2">
        <v>2400</v>
      </c>
      <c r="H123" t="s">
        <v>25</v>
      </c>
      <c r="I123" t="s">
        <v>44</v>
      </c>
      <c r="J123" t="s">
        <v>31</v>
      </c>
      <c r="K123" t="s">
        <v>17</v>
      </c>
      <c r="L123" t="str">
        <f t="shared" si="2"/>
        <v>Mar</v>
      </c>
      <c r="M123" t="str">
        <f t="shared" si="3"/>
        <v>Cancelled</v>
      </c>
    </row>
    <row r="124" spans="1:13" x14ac:dyDescent="0.3">
      <c r="A124" t="s">
        <v>176</v>
      </c>
      <c r="B124" s="1">
        <v>45711</v>
      </c>
      <c r="C124" t="s">
        <v>49</v>
      </c>
      <c r="D124" t="s">
        <v>50</v>
      </c>
      <c r="E124" s="2">
        <v>15</v>
      </c>
      <c r="F124" s="3">
        <v>3</v>
      </c>
      <c r="G124" s="2">
        <v>45</v>
      </c>
      <c r="H124" t="s">
        <v>72</v>
      </c>
      <c r="I124" t="s">
        <v>46</v>
      </c>
      <c r="J124" t="s">
        <v>58</v>
      </c>
      <c r="K124" t="s">
        <v>17</v>
      </c>
      <c r="L124" t="str">
        <f t="shared" si="2"/>
        <v>Feb</v>
      </c>
      <c r="M124" t="str">
        <f t="shared" si="3"/>
        <v>Cancelled</v>
      </c>
    </row>
    <row r="125" spans="1:13" x14ac:dyDescent="0.3">
      <c r="A125" t="s">
        <v>177</v>
      </c>
      <c r="B125" s="1">
        <v>45698</v>
      </c>
      <c r="C125" t="s">
        <v>49</v>
      </c>
      <c r="D125" t="s">
        <v>50</v>
      </c>
      <c r="E125" s="2">
        <v>15</v>
      </c>
      <c r="F125" s="3">
        <v>1</v>
      </c>
      <c r="G125" s="2">
        <v>15</v>
      </c>
      <c r="H125" t="s">
        <v>14</v>
      </c>
      <c r="I125" t="s">
        <v>63</v>
      </c>
      <c r="J125" t="s">
        <v>58</v>
      </c>
      <c r="K125" t="s">
        <v>23</v>
      </c>
      <c r="L125" t="str">
        <f t="shared" si="2"/>
        <v>Feb</v>
      </c>
      <c r="M125" t="str">
        <f t="shared" si="3"/>
        <v>Pending</v>
      </c>
    </row>
    <row r="126" spans="1:13" x14ac:dyDescent="0.3">
      <c r="A126" t="s">
        <v>178</v>
      </c>
      <c r="B126" s="1">
        <v>45711</v>
      </c>
      <c r="C126" t="s">
        <v>42</v>
      </c>
      <c r="D126" t="s">
        <v>20</v>
      </c>
      <c r="E126" s="2">
        <v>500</v>
      </c>
      <c r="F126" s="3">
        <v>1</v>
      </c>
      <c r="G126" s="2">
        <v>500</v>
      </c>
      <c r="H126" t="s">
        <v>21</v>
      </c>
      <c r="I126" t="s">
        <v>26</v>
      </c>
      <c r="J126" t="s">
        <v>27</v>
      </c>
      <c r="K126" t="s">
        <v>40</v>
      </c>
      <c r="L126" t="str">
        <f t="shared" si="2"/>
        <v>Feb</v>
      </c>
      <c r="M126" t="str">
        <f t="shared" si="3"/>
        <v>Delivered</v>
      </c>
    </row>
    <row r="127" spans="1:13" x14ac:dyDescent="0.3">
      <c r="A127" t="s">
        <v>179</v>
      </c>
      <c r="B127" s="1">
        <v>45692</v>
      </c>
      <c r="C127" t="s">
        <v>65</v>
      </c>
      <c r="D127" t="s">
        <v>61</v>
      </c>
      <c r="E127" s="2">
        <v>1200</v>
      </c>
      <c r="F127" s="3">
        <v>5</v>
      </c>
      <c r="G127" s="2">
        <v>6000</v>
      </c>
      <c r="H127" t="s">
        <v>29</v>
      </c>
      <c r="I127" t="s">
        <v>81</v>
      </c>
      <c r="J127" t="s">
        <v>58</v>
      </c>
      <c r="K127" t="s">
        <v>23</v>
      </c>
      <c r="L127" t="str">
        <f t="shared" si="2"/>
        <v>Feb</v>
      </c>
      <c r="M127" t="str">
        <f t="shared" si="3"/>
        <v>Pending</v>
      </c>
    </row>
    <row r="128" spans="1:13" x14ac:dyDescent="0.3">
      <c r="A128" t="s">
        <v>180</v>
      </c>
      <c r="B128" s="1">
        <v>45706</v>
      </c>
      <c r="C128" t="s">
        <v>35</v>
      </c>
      <c r="D128" t="s">
        <v>36</v>
      </c>
      <c r="E128" s="2">
        <v>20</v>
      </c>
      <c r="F128" s="3">
        <v>3</v>
      </c>
      <c r="G128" s="2">
        <v>60</v>
      </c>
      <c r="H128" t="s">
        <v>14</v>
      </c>
      <c r="I128" t="s">
        <v>30</v>
      </c>
      <c r="J128" t="s">
        <v>16</v>
      </c>
      <c r="K128" t="s">
        <v>40</v>
      </c>
      <c r="L128" t="str">
        <f t="shared" si="2"/>
        <v>Feb</v>
      </c>
      <c r="M128" t="str">
        <f t="shared" si="3"/>
        <v>Delivered</v>
      </c>
    </row>
    <row r="129" spans="1:13" x14ac:dyDescent="0.3">
      <c r="A129" t="s">
        <v>181</v>
      </c>
      <c r="B129" s="1">
        <v>45739</v>
      </c>
      <c r="C129" t="s">
        <v>33</v>
      </c>
      <c r="D129" t="s">
        <v>20</v>
      </c>
      <c r="E129" s="2">
        <v>150</v>
      </c>
      <c r="F129" s="3">
        <v>2</v>
      </c>
      <c r="G129" s="2">
        <v>300</v>
      </c>
      <c r="H129" t="s">
        <v>21</v>
      </c>
      <c r="I129" t="s">
        <v>30</v>
      </c>
      <c r="J129" t="s">
        <v>39</v>
      </c>
      <c r="K129" t="s">
        <v>17</v>
      </c>
      <c r="L129" t="str">
        <f t="shared" si="2"/>
        <v>Mar</v>
      </c>
      <c r="M129" t="str">
        <f t="shared" si="3"/>
        <v>Cancelled</v>
      </c>
    </row>
    <row r="130" spans="1:13" x14ac:dyDescent="0.3">
      <c r="A130" t="s">
        <v>182</v>
      </c>
      <c r="B130" s="1">
        <v>45714</v>
      </c>
      <c r="C130" t="s">
        <v>53</v>
      </c>
      <c r="D130" t="s">
        <v>36</v>
      </c>
      <c r="E130" s="2">
        <v>40</v>
      </c>
      <c r="F130" s="3">
        <v>5</v>
      </c>
      <c r="G130" s="2">
        <v>200</v>
      </c>
      <c r="H130" t="s">
        <v>21</v>
      </c>
      <c r="I130" t="s">
        <v>15</v>
      </c>
      <c r="J130" t="s">
        <v>16</v>
      </c>
      <c r="K130" t="s">
        <v>23</v>
      </c>
      <c r="L130" t="str">
        <f t="shared" si="2"/>
        <v>Feb</v>
      </c>
      <c r="M130" t="str">
        <f t="shared" si="3"/>
        <v>Pending</v>
      </c>
    </row>
    <row r="131" spans="1:13" x14ac:dyDescent="0.3">
      <c r="A131" t="s">
        <v>183</v>
      </c>
      <c r="B131" s="1">
        <v>45698</v>
      </c>
      <c r="C131" t="s">
        <v>33</v>
      </c>
      <c r="D131" t="s">
        <v>20</v>
      </c>
      <c r="E131" s="2">
        <v>150</v>
      </c>
      <c r="F131" s="3">
        <v>5</v>
      </c>
      <c r="G131" s="2">
        <v>750</v>
      </c>
      <c r="H131" t="s">
        <v>51</v>
      </c>
      <c r="I131" t="s">
        <v>46</v>
      </c>
      <c r="J131" t="s">
        <v>39</v>
      </c>
      <c r="K131" t="s">
        <v>40</v>
      </c>
      <c r="L131" t="str">
        <f t="shared" ref="L131:L194" si="4">TEXT(B131,"MMM")</f>
        <v>Feb</v>
      </c>
      <c r="M131" t="str">
        <f t="shared" ref="M131:M194" si="5">IF(K131="Completed","Delivered",K131)</f>
        <v>Delivered</v>
      </c>
    </row>
    <row r="132" spans="1:13" x14ac:dyDescent="0.3">
      <c r="A132" t="s">
        <v>184</v>
      </c>
      <c r="B132" s="1">
        <v>45714</v>
      </c>
      <c r="C132" t="s">
        <v>53</v>
      </c>
      <c r="D132" t="s">
        <v>36</v>
      </c>
      <c r="E132" s="2">
        <v>40</v>
      </c>
      <c r="F132" s="3">
        <v>2</v>
      </c>
      <c r="G132" s="2">
        <v>80</v>
      </c>
      <c r="H132" t="s">
        <v>57</v>
      </c>
      <c r="I132" t="s">
        <v>81</v>
      </c>
      <c r="J132" t="s">
        <v>31</v>
      </c>
      <c r="K132" t="s">
        <v>23</v>
      </c>
      <c r="L132" t="str">
        <f t="shared" si="4"/>
        <v>Feb</v>
      </c>
      <c r="M132" t="str">
        <f t="shared" si="5"/>
        <v>Pending</v>
      </c>
    </row>
    <row r="133" spans="1:13" x14ac:dyDescent="0.3">
      <c r="A133" t="s">
        <v>185</v>
      </c>
      <c r="B133" s="1">
        <v>45723</v>
      </c>
      <c r="C133" t="s">
        <v>42</v>
      </c>
      <c r="D133" t="s">
        <v>20</v>
      </c>
      <c r="E133" s="2">
        <v>500</v>
      </c>
      <c r="F133" s="3">
        <v>2</v>
      </c>
      <c r="G133" s="2">
        <v>1000</v>
      </c>
      <c r="H133" t="s">
        <v>29</v>
      </c>
      <c r="I133" t="s">
        <v>81</v>
      </c>
      <c r="J133" t="s">
        <v>16</v>
      </c>
      <c r="K133" t="s">
        <v>23</v>
      </c>
      <c r="L133" t="str">
        <f t="shared" si="4"/>
        <v>Mar</v>
      </c>
      <c r="M133" t="str">
        <f t="shared" si="5"/>
        <v>Pending</v>
      </c>
    </row>
    <row r="134" spans="1:13" x14ac:dyDescent="0.3">
      <c r="A134" t="s">
        <v>186</v>
      </c>
      <c r="B134" s="1">
        <v>45711</v>
      </c>
      <c r="C134" t="s">
        <v>56</v>
      </c>
      <c r="D134" t="s">
        <v>20</v>
      </c>
      <c r="E134" s="2">
        <v>800</v>
      </c>
      <c r="F134" s="3">
        <v>1</v>
      </c>
      <c r="G134" s="2">
        <v>800</v>
      </c>
      <c r="H134" t="s">
        <v>21</v>
      </c>
      <c r="I134" t="s">
        <v>15</v>
      </c>
      <c r="J134" t="s">
        <v>27</v>
      </c>
      <c r="K134" t="s">
        <v>23</v>
      </c>
      <c r="L134" t="str">
        <f t="shared" si="4"/>
        <v>Feb</v>
      </c>
      <c r="M134" t="str">
        <f t="shared" si="5"/>
        <v>Pending</v>
      </c>
    </row>
    <row r="135" spans="1:13" x14ac:dyDescent="0.3">
      <c r="A135" t="s">
        <v>187</v>
      </c>
      <c r="B135" s="1">
        <v>45695</v>
      </c>
      <c r="C135" t="s">
        <v>42</v>
      </c>
      <c r="D135" t="s">
        <v>20</v>
      </c>
      <c r="E135" s="2">
        <v>500</v>
      </c>
      <c r="F135" s="3">
        <v>5</v>
      </c>
      <c r="G135" s="2">
        <v>2500</v>
      </c>
      <c r="H135" t="s">
        <v>51</v>
      </c>
      <c r="I135" t="s">
        <v>81</v>
      </c>
      <c r="J135" t="s">
        <v>58</v>
      </c>
      <c r="K135" t="s">
        <v>23</v>
      </c>
      <c r="L135" t="str">
        <f t="shared" si="4"/>
        <v>Feb</v>
      </c>
      <c r="M135" t="str">
        <f t="shared" si="5"/>
        <v>Pending</v>
      </c>
    </row>
    <row r="136" spans="1:13" x14ac:dyDescent="0.3">
      <c r="A136" t="s">
        <v>188</v>
      </c>
      <c r="B136" s="1">
        <v>45698</v>
      </c>
      <c r="C136" t="s">
        <v>35</v>
      </c>
      <c r="D136" t="s">
        <v>36</v>
      </c>
      <c r="E136" s="2">
        <v>20</v>
      </c>
      <c r="F136" s="3">
        <v>1</v>
      </c>
      <c r="G136" s="2">
        <v>20</v>
      </c>
      <c r="H136" t="s">
        <v>29</v>
      </c>
      <c r="I136" t="s">
        <v>44</v>
      </c>
      <c r="J136" t="s">
        <v>31</v>
      </c>
      <c r="K136" t="s">
        <v>23</v>
      </c>
      <c r="L136" t="str">
        <f t="shared" si="4"/>
        <v>Feb</v>
      </c>
      <c r="M136" t="str">
        <f t="shared" si="5"/>
        <v>Pending</v>
      </c>
    </row>
    <row r="137" spans="1:13" x14ac:dyDescent="0.3">
      <c r="A137" t="s">
        <v>189</v>
      </c>
      <c r="B137" s="1">
        <v>45699</v>
      </c>
      <c r="C137" t="s">
        <v>65</v>
      </c>
      <c r="D137" t="s">
        <v>61</v>
      </c>
      <c r="E137" s="2">
        <v>1200</v>
      </c>
      <c r="F137" s="3">
        <v>2</v>
      </c>
      <c r="G137" s="2">
        <v>2400</v>
      </c>
      <c r="H137" t="s">
        <v>57</v>
      </c>
      <c r="I137" t="s">
        <v>22</v>
      </c>
      <c r="J137" t="s">
        <v>39</v>
      </c>
      <c r="K137" t="s">
        <v>17</v>
      </c>
      <c r="L137" t="str">
        <f t="shared" si="4"/>
        <v>Feb</v>
      </c>
      <c r="M137" t="str">
        <f t="shared" si="5"/>
        <v>Cancelled</v>
      </c>
    </row>
    <row r="138" spans="1:13" x14ac:dyDescent="0.3">
      <c r="A138" t="s">
        <v>190</v>
      </c>
      <c r="B138" s="1">
        <v>45736</v>
      </c>
      <c r="C138" t="s">
        <v>33</v>
      </c>
      <c r="D138" t="s">
        <v>20</v>
      </c>
      <c r="E138" s="2">
        <v>150</v>
      </c>
      <c r="F138" s="3">
        <v>3</v>
      </c>
      <c r="G138" s="2">
        <v>450</v>
      </c>
      <c r="H138" t="s">
        <v>43</v>
      </c>
      <c r="I138" t="s">
        <v>22</v>
      </c>
      <c r="J138" t="s">
        <v>16</v>
      </c>
      <c r="K138" t="s">
        <v>40</v>
      </c>
      <c r="L138" t="str">
        <f t="shared" si="4"/>
        <v>Mar</v>
      </c>
      <c r="M138" t="str">
        <f t="shared" si="5"/>
        <v>Delivered</v>
      </c>
    </row>
    <row r="139" spans="1:13" x14ac:dyDescent="0.3">
      <c r="A139" t="s">
        <v>191</v>
      </c>
      <c r="B139" s="1">
        <v>45699</v>
      </c>
      <c r="C139" t="s">
        <v>33</v>
      </c>
      <c r="D139" t="s">
        <v>20</v>
      </c>
      <c r="E139" s="2">
        <v>150</v>
      </c>
      <c r="F139" s="3">
        <v>5</v>
      </c>
      <c r="G139" s="2">
        <v>750</v>
      </c>
      <c r="H139" t="s">
        <v>25</v>
      </c>
      <c r="I139" t="s">
        <v>68</v>
      </c>
      <c r="J139" t="s">
        <v>31</v>
      </c>
      <c r="K139" t="s">
        <v>17</v>
      </c>
      <c r="L139" t="str">
        <f t="shared" si="4"/>
        <v>Feb</v>
      </c>
      <c r="M139" t="str">
        <f t="shared" si="5"/>
        <v>Cancelled</v>
      </c>
    </row>
    <row r="140" spans="1:13" x14ac:dyDescent="0.3">
      <c r="A140" t="s">
        <v>192</v>
      </c>
      <c r="B140" s="1">
        <v>45734</v>
      </c>
      <c r="C140" t="s">
        <v>56</v>
      </c>
      <c r="D140" t="s">
        <v>20</v>
      </c>
      <c r="E140" s="2">
        <v>800</v>
      </c>
      <c r="F140" s="3">
        <v>2</v>
      </c>
      <c r="G140" s="2">
        <v>1600</v>
      </c>
      <c r="H140" t="s">
        <v>54</v>
      </c>
      <c r="I140" t="s">
        <v>26</v>
      </c>
      <c r="J140" t="s">
        <v>39</v>
      </c>
      <c r="K140" t="s">
        <v>17</v>
      </c>
      <c r="L140" t="str">
        <f t="shared" si="4"/>
        <v>Mar</v>
      </c>
      <c r="M140" t="str">
        <f t="shared" si="5"/>
        <v>Cancelled</v>
      </c>
    </row>
    <row r="141" spans="1:13" x14ac:dyDescent="0.3">
      <c r="A141" t="s">
        <v>193</v>
      </c>
      <c r="B141" s="1">
        <v>45735</v>
      </c>
      <c r="C141" t="s">
        <v>33</v>
      </c>
      <c r="D141" t="s">
        <v>20</v>
      </c>
      <c r="E141" s="2">
        <v>150</v>
      </c>
      <c r="F141" s="3">
        <v>2</v>
      </c>
      <c r="G141" s="2">
        <v>300</v>
      </c>
      <c r="H141" t="s">
        <v>29</v>
      </c>
      <c r="I141" t="s">
        <v>44</v>
      </c>
      <c r="J141" t="s">
        <v>16</v>
      </c>
      <c r="K141" t="s">
        <v>40</v>
      </c>
      <c r="L141" t="str">
        <f t="shared" si="4"/>
        <v>Mar</v>
      </c>
      <c r="M141" t="str">
        <f t="shared" si="5"/>
        <v>Delivered</v>
      </c>
    </row>
    <row r="142" spans="1:13" x14ac:dyDescent="0.3">
      <c r="A142" t="s">
        <v>194</v>
      </c>
      <c r="B142" s="1">
        <v>45737</v>
      </c>
      <c r="C142" t="s">
        <v>42</v>
      </c>
      <c r="D142" t="s">
        <v>20</v>
      </c>
      <c r="E142" s="2">
        <v>500</v>
      </c>
      <c r="F142" s="3">
        <v>2</v>
      </c>
      <c r="G142" s="2">
        <v>1000</v>
      </c>
      <c r="H142" t="s">
        <v>25</v>
      </c>
      <c r="I142" t="s">
        <v>44</v>
      </c>
      <c r="J142" t="s">
        <v>39</v>
      </c>
      <c r="K142" t="s">
        <v>40</v>
      </c>
      <c r="L142" t="str">
        <f t="shared" si="4"/>
        <v>Mar</v>
      </c>
      <c r="M142" t="str">
        <f t="shared" si="5"/>
        <v>Delivered</v>
      </c>
    </row>
    <row r="143" spans="1:13" x14ac:dyDescent="0.3">
      <c r="A143" t="s">
        <v>195</v>
      </c>
      <c r="B143" s="1">
        <v>45731</v>
      </c>
      <c r="C143" t="s">
        <v>42</v>
      </c>
      <c r="D143" t="s">
        <v>20</v>
      </c>
      <c r="E143" s="2">
        <v>500</v>
      </c>
      <c r="F143" s="3">
        <v>3</v>
      </c>
      <c r="G143" s="2">
        <v>1500</v>
      </c>
      <c r="H143" t="s">
        <v>43</v>
      </c>
      <c r="I143" t="s">
        <v>44</v>
      </c>
      <c r="J143" t="s">
        <v>58</v>
      </c>
      <c r="K143" t="s">
        <v>40</v>
      </c>
      <c r="L143" t="str">
        <f t="shared" si="4"/>
        <v>Mar</v>
      </c>
      <c r="M143" t="str">
        <f t="shared" si="5"/>
        <v>Delivered</v>
      </c>
    </row>
    <row r="144" spans="1:13" x14ac:dyDescent="0.3">
      <c r="A144" t="s">
        <v>196</v>
      </c>
      <c r="B144" s="1">
        <v>45747</v>
      </c>
      <c r="C144" t="s">
        <v>65</v>
      </c>
      <c r="D144" t="s">
        <v>61</v>
      </c>
      <c r="E144" s="2">
        <v>1200</v>
      </c>
      <c r="F144" s="3">
        <v>2</v>
      </c>
      <c r="G144" s="2">
        <v>2400</v>
      </c>
      <c r="H144" t="s">
        <v>80</v>
      </c>
      <c r="I144" t="s">
        <v>30</v>
      </c>
      <c r="J144" t="s">
        <v>39</v>
      </c>
      <c r="K144" t="s">
        <v>17</v>
      </c>
      <c r="L144" t="str">
        <f t="shared" si="4"/>
        <v>Mar</v>
      </c>
      <c r="M144" t="str">
        <f t="shared" si="5"/>
        <v>Cancelled</v>
      </c>
    </row>
    <row r="145" spans="1:13" x14ac:dyDescent="0.3">
      <c r="A145" t="s">
        <v>197</v>
      </c>
      <c r="B145" s="1">
        <v>45715</v>
      </c>
      <c r="C145" t="s">
        <v>53</v>
      </c>
      <c r="D145" t="s">
        <v>36</v>
      </c>
      <c r="E145" s="2">
        <v>40</v>
      </c>
      <c r="F145" s="3">
        <v>2</v>
      </c>
      <c r="G145" s="2">
        <v>80</v>
      </c>
      <c r="H145" t="s">
        <v>54</v>
      </c>
      <c r="I145" t="s">
        <v>68</v>
      </c>
      <c r="J145" t="s">
        <v>58</v>
      </c>
      <c r="K145" t="s">
        <v>17</v>
      </c>
      <c r="L145" t="str">
        <f t="shared" si="4"/>
        <v>Feb</v>
      </c>
      <c r="M145" t="str">
        <f t="shared" si="5"/>
        <v>Cancelled</v>
      </c>
    </row>
    <row r="146" spans="1:13" x14ac:dyDescent="0.3">
      <c r="A146" t="s">
        <v>198</v>
      </c>
      <c r="B146" s="1">
        <v>45724</v>
      </c>
      <c r="C146" t="s">
        <v>33</v>
      </c>
      <c r="D146" t="s">
        <v>20</v>
      </c>
      <c r="E146" s="2">
        <v>150</v>
      </c>
      <c r="F146" s="3">
        <v>2</v>
      </c>
      <c r="G146" s="2">
        <v>300</v>
      </c>
      <c r="H146" t="s">
        <v>54</v>
      </c>
      <c r="I146" t="s">
        <v>63</v>
      </c>
      <c r="J146" t="s">
        <v>16</v>
      </c>
      <c r="K146" t="s">
        <v>17</v>
      </c>
      <c r="L146" t="str">
        <f t="shared" si="4"/>
        <v>Mar</v>
      </c>
      <c r="M146" t="str">
        <f t="shared" si="5"/>
        <v>Cancelled</v>
      </c>
    </row>
    <row r="147" spans="1:13" x14ac:dyDescent="0.3">
      <c r="A147" t="s">
        <v>199</v>
      </c>
      <c r="B147" s="1">
        <v>45741</v>
      </c>
      <c r="C147" t="s">
        <v>33</v>
      </c>
      <c r="D147" t="s">
        <v>20</v>
      </c>
      <c r="E147" s="2">
        <v>150</v>
      </c>
      <c r="F147" s="3">
        <v>2</v>
      </c>
      <c r="G147" s="2">
        <v>300</v>
      </c>
      <c r="H147" t="s">
        <v>14</v>
      </c>
      <c r="I147" t="s">
        <v>46</v>
      </c>
      <c r="J147" t="s">
        <v>16</v>
      </c>
      <c r="K147" t="s">
        <v>40</v>
      </c>
      <c r="L147" t="str">
        <f t="shared" si="4"/>
        <v>Mar</v>
      </c>
      <c r="M147" t="str">
        <f t="shared" si="5"/>
        <v>Delivered</v>
      </c>
    </row>
    <row r="148" spans="1:13" x14ac:dyDescent="0.3">
      <c r="A148" t="s">
        <v>200</v>
      </c>
      <c r="B148" s="1">
        <v>45693</v>
      </c>
      <c r="C148" t="s">
        <v>12</v>
      </c>
      <c r="D148" t="s">
        <v>13</v>
      </c>
      <c r="E148" s="2">
        <v>60</v>
      </c>
      <c r="F148" s="3">
        <v>5</v>
      </c>
      <c r="G148" s="2">
        <v>300</v>
      </c>
      <c r="H148" t="s">
        <v>80</v>
      </c>
      <c r="I148" t="s">
        <v>30</v>
      </c>
      <c r="J148" t="s">
        <v>39</v>
      </c>
      <c r="K148" t="s">
        <v>23</v>
      </c>
      <c r="L148" t="str">
        <f t="shared" si="4"/>
        <v>Feb</v>
      </c>
      <c r="M148" t="str">
        <f t="shared" si="5"/>
        <v>Pending</v>
      </c>
    </row>
    <row r="149" spans="1:13" x14ac:dyDescent="0.3">
      <c r="A149" t="s">
        <v>201</v>
      </c>
      <c r="B149" s="1">
        <v>45694</v>
      </c>
      <c r="C149" t="s">
        <v>19</v>
      </c>
      <c r="D149" t="s">
        <v>20</v>
      </c>
      <c r="E149" s="2">
        <v>100</v>
      </c>
      <c r="F149" s="3">
        <v>4</v>
      </c>
      <c r="G149" s="2">
        <v>400</v>
      </c>
      <c r="H149" t="s">
        <v>21</v>
      </c>
      <c r="I149" t="s">
        <v>68</v>
      </c>
      <c r="J149" t="s">
        <v>27</v>
      </c>
      <c r="K149" t="s">
        <v>17</v>
      </c>
      <c r="L149" t="str">
        <f t="shared" si="4"/>
        <v>Feb</v>
      </c>
      <c r="M149" t="str">
        <f t="shared" si="5"/>
        <v>Cancelled</v>
      </c>
    </row>
    <row r="150" spans="1:13" x14ac:dyDescent="0.3">
      <c r="A150" t="s">
        <v>202</v>
      </c>
      <c r="B150" s="1">
        <v>45736</v>
      </c>
      <c r="C150" t="s">
        <v>12</v>
      </c>
      <c r="D150" t="s">
        <v>13</v>
      </c>
      <c r="E150" s="2">
        <v>60</v>
      </c>
      <c r="F150" s="3">
        <v>3</v>
      </c>
      <c r="G150" s="2">
        <v>180</v>
      </c>
      <c r="H150" t="s">
        <v>54</v>
      </c>
      <c r="I150" t="s">
        <v>15</v>
      </c>
      <c r="J150" t="s">
        <v>58</v>
      </c>
      <c r="K150" t="s">
        <v>23</v>
      </c>
      <c r="L150" t="str">
        <f t="shared" si="4"/>
        <v>Mar</v>
      </c>
      <c r="M150" t="str">
        <f t="shared" si="5"/>
        <v>Pending</v>
      </c>
    </row>
    <row r="151" spans="1:13" x14ac:dyDescent="0.3">
      <c r="A151" t="s">
        <v>203</v>
      </c>
      <c r="B151" s="1">
        <v>45696</v>
      </c>
      <c r="C151" t="s">
        <v>49</v>
      </c>
      <c r="D151" t="s">
        <v>50</v>
      </c>
      <c r="E151" s="2">
        <v>15</v>
      </c>
      <c r="F151" s="3">
        <v>4</v>
      </c>
      <c r="G151" s="2">
        <v>60</v>
      </c>
      <c r="H151" t="s">
        <v>57</v>
      </c>
      <c r="I151" t="s">
        <v>81</v>
      </c>
      <c r="J151" t="s">
        <v>58</v>
      </c>
      <c r="K151" t="s">
        <v>17</v>
      </c>
      <c r="L151" t="str">
        <f t="shared" si="4"/>
        <v>Feb</v>
      </c>
      <c r="M151" t="str">
        <f t="shared" si="5"/>
        <v>Cancelled</v>
      </c>
    </row>
    <row r="152" spans="1:13" x14ac:dyDescent="0.3">
      <c r="A152" t="s">
        <v>204</v>
      </c>
      <c r="B152" s="1">
        <v>45745</v>
      </c>
      <c r="C152" t="s">
        <v>60</v>
      </c>
      <c r="D152" t="s">
        <v>61</v>
      </c>
      <c r="E152" s="2">
        <v>600</v>
      </c>
      <c r="F152" s="3">
        <v>4</v>
      </c>
      <c r="G152" s="2">
        <v>2400</v>
      </c>
      <c r="H152" t="s">
        <v>80</v>
      </c>
      <c r="I152" t="s">
        <v>68</v>
      </c>
      <c r="J152" t="s">
        <v>27</v>
      </c>
      <c r="K152" t="s">
        <v>23</v>
      </c>
      <c r="L152" t="str">
        <f t="shared" si="4"/>
        <v>Mar</v>
      </c>
      <c r="M152" t="str">
        <f t="shared" si="5"/>
        <v>Pending</v>
      </c>
    </row>
    <row r="153" spans="1:13" x14ac:dyDescent="0.3">
      <c r="A153" t="s">
        <v>205</v>
      </c>
      <c r="B153" s="1">
        <v>45716</v>
      </c>
      <c r="C153" t="s">
        <v>33</v>
      </c>
      <c r="D153" t="s">
        <v>20</v>
      </c>
      <c r="E153" s="2">
        <v>150</v>
      </c>
      <c r="F153" s="3">
        <v>1</v>
      </c>
      <c r="G153" s="2">
        <v>150</v>
      </c>
      <c r="H153" t="s">
        <v>25</v>
      </c>
      <c r="I153" t="s">
        <v>63</v>
      </c>
      <c r="J153" t="s">
        <v>58</v>
      </c>
      <c r="K153" t="s">
        <v>40</v>
      </c>
      <c r="L153" t="str">
        <f t="shared" si="4"/>
        <v>Feb</v>
      </c>
      <c r="M153" t="str">
        <f t="shared" si="5"/>
        <v>Delivered</v>
      </c>
    </row>
    <row r="154" spans="1:13" x14ac:dyDescent="0.3">
      <c r="A154" t="s">
        <v>206</v>
      </c>
      <c r="B154" s="1">
        <v>45711</v>
      </c>
      <c r="C154" t="s">
        <v>33</v>
      </c>
      <c r="D154" t="s">
        <v>20</v>
      </c>
      <c r="E154" s="2">
        <v>150</v>
      </c>
      <c r="F154" s="3">
        <v>5</v>
      </c>
      <c r="G154" s="2">
        <v>750</v>
      </c>
      <c r="H154" t="s">
        <v>43</v>
      </c>
      <c r="I154" t="s">
        <v>22</v>
      </c>
      <c r="J154" t="s">
        <v>39</v>
      </c>
      <c r="K154" t="s">
        <v>23</v>
      </c>
      <c r="L154" t="str">
        <f t="shared" si="4"/>
        <v>Feb</v>
      </c>
      <c r="M154" t="str">
        <f t="shared" si="5"/>
        <v>Pending</v>
      </c>
    </row>
    <row r="155" spans="1:13" x14ac:dyDescent="0.3">
      <c r="A155" t="s">
        <v>207</v>
      </c>
      <c r="B155" s="1">
        <v>45717</v>
      </c>
      <c r="C155" t="s">
        <v>19</v>
      </c>
      <c r="D155" t="s">
        <v>20</v>
      </c>
      <c r="E155" s="2">
        <v>100</v>
      </c>
      <c r="F155" s="3">
        <v>2</v>
      </c>
      <c r="G155" s="2">
        <v>200</v>
      </c>
      <c r="H155" t="s">
        <v>25</v>
      </c>
      <c r="I155" t="s">
        <v>26</v>
      </c>
      <c r="J155" t="s">
        <v>16</v>
      </c>
      <c r="K155" t="s">
        <v>40</v>
      </c>
      <c r="L155" t="str">
        <f t="shared" si="4"/>
        <v>Mar</v>
      </c>
      <c r="M155" t="str">
        <f t="shared" si="5"/>
        <v>Delivered</v>
      </c>
    </row>
    <row r="156" spans="1:13" x14ac:dyDescent="0.3">
      <c r="A156" t="s">
        <v>208</v>
      </c>
      <c r="B156" s="1">
        <v>45693</v>
      </c>
      <c r="C156" t="s">
        <v>65</v>
      </c>
      <c r="D156" t="s">
        <v>61</v>
      </c>
      <c r="E156" s="2">
        <v>1200</v>
      </c>
      <c r="F156" s="3">
        <v>4</v>
      </c>
      <c r="G156" s="2">
        <v>4800</v>
      </c>
      <c r="H156" t="s">
        <v>43</v>
      </c>
      <c r="I156" t="s">
        <v>63</v>
      </c>
      <c r="J156" t="s">
        <v>31</v>
      </c>
      <c r="K156" t="s">
        <v>23</v>
      </c>
      <c r="L156" t="str">
        <f t="shared" si="4"/>
        <v>Feb</v>
      </c>
      <c r="M156" t="str">
        <f t="shared" si="5"/>
        <v>Pending</v>
      </c>
    </row>
    <row r="157" spans="1:13" x14ac:dyDescent="0.3">
      <c r="A157" t="s">
        <v>209</v>
      </c>
      <c r="B157" s="1">
        <v>45732</v>
      </c>
      <c r="C157" t="s">
        <v>33</v>
      </c>
      <c r="D157" t="s">
        <v>20</v>
      </c>
      <c r="E157" s="2">
        <v>150</v>
      </c>
      <c r="F157" s="3">
        <v>4</v>
      </c>
      <c r="G157" s="2">
        <v>600</v>
      </c>
      <c r="H157" t="s">
        <v>29</v>
      </c>
      <c r="I157" t="s">
        <v>44</v>
      </c>
      <c r="J157" t="s">
        <v>39</v>
      </c>
      <c r="K157" t="s">
        <v>17</v>
      </c>
      <c r="L157" t="str">
        <f t="shared" si="4"/>
        <v>Mar</v>
      </c>
      <c r="M157" t="str">
        <f t="shared" si="5"/>
        <v>Cancelled</v>
      </c>
    </row>
    <row r="158" spans="1:13" x14ac:dyDescent="0.3">
      <c r="A158" t="s">
        <v>210</v>
      </c>
      <c r="B158" s="1">
        <v>45696</v>
      </c>
      <c r="C158" t="s">
        <v>42</v>
      </c>
      <c r="D158" t="s">
        <v>20</v>
      </c>
      <c r="E158" s="2">
        <v>500</v>
      </c>
      <c r="F158" s="3">
        <v>3</v>
      </c>
      <c r="G158" s="2">
        <v>1500</v>
      </c>
      <c r="H158" t="s">
        <v>43</v>
      </c>
      <c r="I158" t="s">
        <v>26</v>
      </c>
      <c r="J158" t="s">
        <v>31</v>
      </c>
      <c r="K158" t="s">
        <v>23</v>
      </c>
      <c r="L158" t="str">
        <f t="shared" si="4"/>
        <v>Feb</v>
      </c>
      <c r="M158" t="str">
        <f t="shared" si="5"/>
        <v>Pending</v>
      </c>
    </row>
    <row r="159" spans="1:13" x14ac:dyDescent="0.3">
      <c r="A159" t="s">
        <v>211</v>
      </c>
      <c r="B159" s="1">
        <v>45712</v>
      </c>
      <c r="C159" t="s">
        <v>56</v>
      </c>
      <c r="D159" t="s">
        <v>20</v>
      </c>
      <c r="E159" s="2">
        <v>800</v>
      </c>
      <c r="F159" s="3">
        <v>3</v>
      </c>
      <c r="G159" s="2">
        <v>2400</v>
      </c>
      <c r="H159" t="s">
        <v>72</v>
      </c>
      <c r="I159" t="s">
        <v>44</v>
      </c>
      <c r="J159" t="s">
        <v>16</v>
      </c>
      <c r="K159" t="s">
        <v>23</v>
      </c>
      <c r="L159" t="str">
        <f t="shared" si="4"/>
        <v>Feb</v>
      </c>
      <c r="M159" t="str">
        <f t="shared" si="5"/>
        <v>Pending</v>
      </c>
    </row>
    <row r="160" spans="1:13" x14ac:dyDescent="0.3">
      <c r="A160" t="s">
        <v>212</v>
      </c>
      <c r="B160" s="1">
        <v>45704</v>
      </c>
      <c r="C160" t="s">
        <v>35</v>
      </c>
      <c r="D160" t="s">
        <v>36</v>
      </c>
      <c r="E160" s="2">
        <v>20</v>
      </c>
      <c r="F160" s="3">
        <v>2</v>
      </c>
      <c r="G160" s="2">
        <v>40</v>
      </c>
      <c r="H160" t="s">
        <v>51</v>
      </c>
      <c r="I160" t="s">
        <v>30</v>
      </c>
      <c r="J160" t="s">
        <v>58</v>
      </c>
      <c r="K160" t="s">
        <v>17</v>
      </c>
      <c r="L160" t="str">
        <f t="shared" si="4"/>
        <v>Feb</v>
      </c>
      <c r="M160" t="str">
        <f t="shared" si="5"/>
        <v>Cancelled</v>
      </c>
    </row>
    <row r="161" spans="1:13" x14ac:dyDescent="0.3">
      <c r="A161" t="s">
        <v>213</v>
      </c>
      <c r="B161" s="1">
        <v>45694</v>
      </c>
      <c r="C161" t="s">
        <v>60</v>
      </c>
      <c r="D161" t="s">
        <v>61</v>
      </c>
      <c r="E161" s="2">
        <v>600</v>
      </c>
      <c r="F161" s="3">
        <v>3</v>
      </c>
      <c r="G161" s="2">
        <v>1800</v>
      </c>
      <c r="H161" t="s">
        <v>29</v>
      </c>
      <c r="I161" t="s">
        <v>26</v>
      </c>
      <c r="J161" t="s">
        <v>58</v>
      </c>
      <c r="K161" t="s">
        <v>17</v>
      </c>
      <c r="L161" t="str">
        <f t="shared" si="4"/>
        <v>Feb</v>
      </c>
      <c r="M161" t="str">
        <f t="shared" si="5"/>
        <v>Cancelled</v>
      </c>
    </row>
    <row r="162" spans="1:13" x14ac:dyDescent="0.3">
      <c r="A162" t="s">
        <v>214</v>
      </c>
      <c r="B162" s="1">
        <v>45710</v>
      </c>
      <c r="C162" t="s">
        <v>19</v>
      </c>
      <c r="D162" t="s">
        <v>20</v>
      </c>
      <c r="E162" s="2">
        <v>100</v>
      </c>
      <c r="F162" s="3">
        <v>1</v>
      </c>
      <c r="G162" s="2">
        <v>100</v>
      </c>
      <c r="H162" t="s">
        <v>21</v>
      </c>
      <c r="I162" t="s">
        <v>68</v>
      </c>
      <c r="J162" t="s">
        <v>31</v>
      </c>
      <c r="K162" t="s">
        <v>40</v>
      </c>
      <c r="L162" t="str">
        <f t="shared" si="4"/>
        <v>Feb</v>
      </c>
      <c r="M162" t="str">
        <f t="shared" si="5"/>
        <v>Delivered</v>
      </c>
    </row>
    <row r="163" spans="1:13" x14ac:dyDescent="0.3">
      <c r="A163" t="s">
        <v>215</v>
      </c>
      <c r="B163" s="1">
        <v>45697</v>
      </c>
      <c r="C163" t="s">
        <v>42</v>
      </c>
      <c r="D163" t="s">
        <v>20</v>
      </c>
      <c r="E163" s="2">
        <v>500</v>
      </c>
      <c r="F163" s="3">
        <v>2</v>
      </c>
      <c r="G163" s="2">
        <v>1000</v>
      </c>
      <c r="H163" t="s">
        <v>29</v>
      </c>
      <c r="I163" t="s">
        <v>81</v>
      </c>
      <c r="J163" t="s">
        <v>31</v>
      </c>
      <c r="K163" t="s">
        <v>40</v>
      </c>
      <c r="L163" t="str">
        <f t="shared" si="4"/>
        <v>Feb</v>
      </c>
      <c r="M163" t="str">
        <f t="shared" si="5"/>
        <v>Delivered</v>
      </c>
    </row>
    <row r="164" spans="1:13" x14ac:dyDescent="0.3">
      <c r="A164" t="s">
        <v>216</v>
      </c>
      <c r="B164" s="1">
        <v>45708</v>
      </c>
      <c r="C164" t="s">
        <v>12</v>
      </c>
      <c r="D164" t="s">
        <v>13</v>
      </c>
      <c r="E164" s="2">
        <v>60</v>
      </c>
      <c r="F164" s="3">
        <v>2</v>
      </c>
      <c r="G164" s="2">
        <v>120</v>
      </c>
      <c r="H164" t="s">
        <v>72</v>
      </c>
      <c r="I164" t="s">
        <v>38</v>
      </c>
      <c r="J164" t="s">
        <v>39</v>
      </c>
      <c r="K164" t="s">
        <v>40</v>
      </c>
      <c r="L164" t="str">
        <f t="shared" si="4"/>
        <v>Feb</v>
      </c>
      <c r="M164" t="str">
        <f t="shared" si="5"/>
        <v>Delivered</v>
      </c>
    </row>
    <row r="165" spans="1:13" x14ac:dyDescent="0.3">
      <c r="A165" t="s">
        <v>217</v>
      </c>
      <c r="B165" s="1">
        <v>45713</v>
      </c>
      <c r="C165" t="s">
        <v>33</v>
      </c>
      <c r="D165" t="s">
        <v>20</v>
      </c>
      <c r="E165" s="2">
        <v>150</v>
      </c>
      <c r="F165" s="3">
        <v>5</v>
      </c>
      <c r="G165" s="2">
        <v>750</v>
      </c>
      <c r="H165" t="s">
        <v>54</v>
      </c>
      <c r="I165" t="s">
        <v>46</v>
      </c>
      <c r="J165" t="s">
        <v>16</v>
      </c>
      <c r="K165" t="s">
        <v>23</v>
      </c>
      <c r="L165" t="str">
        <f t="shared" si="4"/>
        <v>Feb</v>
      </c>
      <c r="M165" t="str">
        <f t="shared" si="5"/>
        <v>Pending</v>
      </c>
    </row>
    <row r="166" spans="1:13" x14ac:dyDescent="0.3">
      <c r="A166" t="s">
        <v>218</v>
      </c>
      <c r="B166" s="1">
        <v>45730</v>
      </c>
      <c r="C166" t="s">
        <v>49</v>
      </c>
      <c r="D166" t="s">
        <v>50</v>
      </c>
      <c r="E166" s="2">
        <v>15</v>
      </c>
      <c r="F166" s="3">
        <v>1</v>
      </c>
      <c r="G166" s="2">
        <v>15</v>
      </c>
      <c r="H166" t="s">
        <v>51</v>
      </c>
      <c r="I166" t="s">
        <v>15</v>
      </c>
      <c r="J166" t="s">
        <v>27</v>
      </c>
      <c r="K166" t="s">
        <v>23</v>
      </c>
      <c r="L166" t="str">
        <f t="shared" si="4"/>
        <v>Mar</v>
      </c>
      <c r="M166" t="str">
        <f t="shared" si="5"/>
        <v>Pending</v>
      </c>
    </row>
    <row r="167" spans="1:13" x14ac:dyDescent="0.3">
      <c r="A167" t="s">
        <v>219</v>
      </c>
      <c r="B167" s="1">
        <v>45746</v>
      </c>
      <c r="C167" t="s">
        <v>60</v>
      </c>
      <c r="D167" t="s">
        <v>61</v>
      </c>
      <c r="E167" s="2">
        <v>600</v>
      </c>
      <c r="F167" s="3">
        <v>4</v>
      </c>
      <c r="G167" s="2">
        <v>2400</v>
      </c>
      <c r="H167" t="s">
        <v>72</v>
      </c>
      <c r="I167" t="s">
        <v>38</v>
      </c>
      <c r="J167" t="s">
        <v>31</v>
      </c>
      <c r="K167" t="s">
        <v>23</v>
      </c>
      <c r="L167" t="str">
        <f t="shared" si="4"/>
        <v>Mar</v>
      </c>
      <c r="M167" t="str">
        <f t="shared" si="5"/>
        <v>Pending</v>
      </c>
    </row>
    <row r="168" spans="1:13" x14ac:dyDescent="0.3">
      <c r="A168" t="s">
        <v>220</v>
      </c>
      <c r="B168" s="1">
        <v>45736</v>
      </c>
      <c r="C168" t="s">
        <v>65</v>
      </c>
      <c r="D168" t="s">
        <v>61</v>
      </c>
      <c r="E168" s="2">
        <v>1200</v>
      </c>
      <c r="F168" s="3">
        <v>2</v>
      </c>
      <c r="G168" s="2">
        <v>2400</v>
      </c>
      <c r="H168" t="s">
        <v>29</v>
      </c>
      <c r="I168" t="s">
        <v>63</v>
      </c>
      <c r="J168" t="s">
        <v>31</v>
      </c>
      <c r="K168" t="s">
        <v>40</v>
      </c>
      <c r="L168" t="str">
        <f t="shared" si="4"/>
        <v>Mar</v>
      </c>
      <c r="M168" t="str">
        <f t="shared" si="5"/>
        <v>Delivered</v>
      </c>
    </row>
    <row r="169" spans="1:13" x14ac:dyDescent="0.3">
      <c r="A169" t="s">
        <v>221</v>
      </c>
      <c r="B169" s="1">
        <v>45740</v>
      </c>
      <c r="C169" t="s">
        <v>56</v>
      </c>
      <c r="D169" t="s">
        <v>20</v>
      </c>
      <c r="E169" s="2">
        <v>800</v>
      </c>
      <c r="F169" s="3">
        <v>5</v>
      </c>
      <c r="G169" s="2">
        <v>4000</v>
      </c>
      <c r="H169" t="s">
        <v>54</v>
      </c>
      <c r="I169" t="s">
        <v>44</v>
      </c>
      <c r="J169" t="s">
        <v>16</v>
      </c>
      <c r="K169" t="s">
        <v>23</v>
      </c>
      <c r="L169" t="str">
        <f t="shared" si="4"/>
        <v>Mar</v>
      </c>
      <c r="M169" t="str">
        <f t="shared" si="5"/>
        <v>Pending</v>
      </c>
    </row>
    <row r="170" spans="1:13" x14ac:dyDescent="0.3">
      <c r="A170" t="s">
        <v>222</v>
      </c>
      <c r="B170" s="1">
        <v>45722</v>
      </c>
      <c r="C170" t="s">
        <v>65</v>
      </c>
      <c r="D170" t="s">
        <v>61</v>
      </c>
      <c r="E170" s="2">
        <v>1200</v>
      </c>
      <c r="F170" s="3">
        <v>2</v>
      </c>
      <c r="G170" s="2">
        <v>2400</v>
      </c>
      <c r="H170" t="s">
        <v>25</v>
      </c>
      <c r="I170" t="s">
        <v>26</v>
      </c>
      <c r="J170" t="s">
        <v>39</v>
      </c>
      <c r="K170" t="s">
        <v>40</v>
      </c>
      <c r="L170" t="str">
        <f t="shared" si="4"/>
        <v>Mar</v>
      </c>
      <c r="M170" t="str">
        <f t="shared" si="5"/>
        <v>Delivered</v>
      </c>
    </row>
    <row r="171" spans="1:13" x14ac:dyDescent="0.3">
      <c r="A171" t="s">
        <v>223</v>
      </c>
      <c r="B171" s="1">
        <v>45716</v>
      </c>
      <c r="C171" t="s">
        <v>56</v>
      </c>
      <c r="D171" t="s">
        <v>20</v>
      </c>
      <c r="E171" s="2">
        <v>800</v>
      </c>
      <c r="F171" s="3">
        <v>1</v>
      </c>
      <c r="G171" s="2">
        <v>800</v>
      </c>
      <c r="H171" t="s">
        <v>14</v>
      </c>
      <c r="I171" t="s">
        <v>22</v>
      </c>
      <c r="J171" t="s">
        <v>58</v>
      </c>
      <c r="K171" t="s">
        <v>23</v>
      </c>
      <c r="L171" t="str">
        <f t="shared" si="4"/>
        <v>Feb</v>
      </c>
      <c r="M171" t="str">
        <f t="shared" si="5"/>
        <v>Pending</v>
      </c>
    </row>
    <row r="172" spans="1:13" x14ac:dyDescent="0.3">
      <c r="A172" t="s">
        <v>224</v>
      </c>
      <c r="B172" s="1">
        <v>45716</v>
      </c>
      <c r="C172" t="s">
        <v>33</v>
      </c>
      <c r="D172" t="s">
        <v>20</v>
      </c>
      <c r="E172" s="2">
        <v>150</v>
      </c>
      <c r="F172" s="3">
        <v>2</v>
      </c>
      <c r="G172" s="2">
        <v>300</v>
      </c>
      <c r="H172" t="s">
        <v>57</v>
      </c>
      <c r="I172" t="s">
        <v>38</v>
      </c>
      <c r="J172" t="s">
        <v>39</v>
      </c>
      <c r="K172" t="s">
        <v>40</v>
      </c>
      <c r="L172" t="str">
        <f t="shared" si="4"/>
        <v>Feb</v>
      </c>
      <c r="M172" t="str">
        <f t="shared" si="5"/>
        <v>Delivered</v>
      </c>
    </row>
    <row r="173" spans="1:13" x14ac:dyDescent="0.3">
      <c r="A173" t="s">
        <v>225</v>
      </c>
      <c r="B173" s="1">
        <v>45728</v>
      </c>
      <c r="C173" t="s">
        <v>49</v>
      </c>
      <c r="D173" t="s">
        <v>50</v>
      </c>
      <c r="E173" s="2">
        <v>15</v>
      </c>
      <c r="F173" s="3">
        <v>1</v>
      </c>
      <c r="G173" s="2">
        <v>15</v>
      </c>
      <c r="H173" t="s">
        <v>51</v>
      </c>
      <c r="I173" t="s">
        <v>44</v>
      </c>
      <c r="J173" t="s">
        <v>16</v>
      </c>
      <c r="K173" t="s">
        <v>17</v>
      </c>
      <c r="L173" t="str">
        <f t="shared" si="4"/>
        <v>Mar</v>
      </c>
      <c r="M173" t="str">
        <f t="shared" si="5"/>
        <v>Cancelled</v>
      </c>
    </row>
    <row r="174" spans="1:13" x14ac:dyDescent="0.3">
      <c r="A174" t="s">
        <v>226</v>
      </c>
      <c r="B174" s="1">
        <v>45716</v>
      </c>
      <c r="C174" t="s">
        <v>65</v>
      </c>
      <c r="D174" t="s">
        <v>61</v>
      </c>
      <c r="E174" s="2">
        <v>1200</v>
      </c>
      <c r="F174" s="3">
        <v>1</v>
      </c>
      <c r="G174" s="2">
        <v>1200</v>
      </c>
      <c r="H174" t="s">
        <v>29</v>
      </c>
      <c r="I174" t="s">
        <v>63</v>
      </c>
      <c r="J174" t="s">
        <v>39</v>
      </c>
      <c r="K174" t="s">
        <v>40</v>
      </c>
      <c r="L174" t="str">
        <f t="shared" si="4"/>
        <v>Feb</v>
      </c>
      <c r="M174" t="str">
        <f t="shared" si="5"/>
        <v>Delivered</v>
      </c>
    </row>
    <row r="175" spans="1:13" x14ac:dyDescent="0.3">
      <c r="A175" t="s">
        <v>227</v>
      </c>
      <c r="B175" s="1">
        <v>45729</v>
      </c>
      <c r="C175" t="s">
        <v>33</v>
      </c>
      <c r="D175" t="s">
        <v>20</v>
      </c>
      <c r="E175" s="2">
        <v>150</v>
      </c>
      <c r="F175" s="3">
        <v>2</v>
      </c>
      <c r="G175" s="2">
        <v>300</v>
      </c>
      <c r="H175" t="s">
        <v>51</v>
      </c>
      <c r="I175" t="s">
        <v>81</v>
      </c>
      <c r="J175" t="s">
        <v>16</v>
      </c>
      <c r="K175" t="s">
        <v>23</v>
      </c>
      <c r="L175" t="str">
        <f t="shared" si="4"/>
        <v>Mar</v>
      </c>
      <c r="M175" t="str">
        <f t="shared" si="5"/>
        <v>Pending</v>
      </c>
    </row>
    <row r="176" spans="1:13" x14ac:dyDescent="0.3">
      <c r="A176" t="s">
        <v>228</v>
      </c>
      <c r="B176" s="1">
        <v>45740</v>
      </c>
      <c r="C176" t="s">
        <v>53</v>
      </c>
      <c r="D176" t="s">
        <v>36</v>
      </c>
      <c r="E176" s="2">
        <v>40</v>
      </c>
      <c r="F176" s="3">
        <v>5</v>
      </c>
      <c r="G176" s="2">
        <v>200</v>
      </c>
      <c r="H176" t="s">
        <v>51</v>
      </c>
      <c r="I176" t="s">
        <v>15</v>
      </c>
      <c r="J176" t="s">
        <v>16</v>
      </c>
      <c r="K176" t="s">
        <v>17</v>
      </c>
      <c r="L176" t="str">
        <f t="shared" si="4"/>
        <v>Mar</v>
      </c>
      <c r="M176" t="str">
        <f t="shared" si="5"/>
        <v>Cancelled</v>
      </c>
    </row>
    <row r="177" spans="1:13" x14ac:dyDescent="0.3">
      <c r="A177" t="s">
        <v>229</v>
      </c>
      <c r="B177" s="1">
        <v>45743</v>
      </c>
      <c r="C177" t="s">
        <v>49</v>
      </c>
      <c r="D177" t="s">
        <v>50</v>
      </c>
      <c r="E177" s="2">
        <v>15</v>
      </c>
      <c r="F177" s="3">
        <v>1</v>
      </c>
      <c r="G177" s="2">
        <v>15</v>
      </c>
      <c r="H177" t="s">
        <v>54</v>
      </c>
      <c r="I177" t="s">
        <v>46</v>
      </c>
      <c r="J177" t="s">
        <v>27</v>
      </c>
      <c r="K177" t="s">
        <v>40</v>
      </c>
      <c r="L177" t="str">
        <f t="shared" si="4"/>
        <v>Mar</v>
      </c>
      <c r="M177" t="str">
        <f t="shared" si="5"/>
        <v>Delivered</v>
      </c>
    </row>
    <row r="178" spans="1:13" x14ac:dyDescent="0.3">
      <c r="A178" t="s">
        <v>230</v>
      </c>
      <c r="B178" s="1">
        <v>45730</v>
      </c>
      <c r="C178" t="s">
        <v>49</v>
      </c>
      <c r="D178" t="s">
        <v>50</v>
      </c>
      <c r="E178" s="2">
        <v>15</v>
      </c>
      <c r="F178" s="3">
        <v>5</v>
      </c>
      <c r="G178" s="2">
        <v>75</v>
      </c>
      <c r="H178" t="s">
        <v>51</v>
      </c>
      <c r="I178" t="s">
        <v>22</v>
      </c>
      <c r="J178" t="s">
        <v>31</v>
      </c>
      <c r="K178" t="s">
        <v>23</v>
      </c>
      <c r="L178" t="str">
        <f t="shared" si="4"/>
        <v>Mar</v>
      </c>
      <c r="M178" t="str">
        <f t="shared" si="5"/>
        <v>Pending</v>
      </c>
    </row>
    <row r="179" spans="1:13" x14ac:dyDescent="0.3">
      <c r="A179" t="s">
        <v>231</v>
      </c>
      <c r="B179" s="1">
        <v>45694</v>
      </c>
      <c r="C179" t="s">
        <v>42</v>
      </c>
      <c r="D179" t="s">
        <v>20</v>
      </c>
      <c r="E179" s="2">
        <v>500</v>
      </c>
      <c r="F179" s="3">
        <v>3</v>
      </c>
      <c r="G179" s="2">
        <v>1500</v>
      </c>
      <c r="H179" t="s">
        <v>21</v>
      </c>
      <c r="I179" t="s">
        <v>81</v>
      </c>
      <c r="J179" t="s">
        <v>39</v>
      </c>
      <c r="K179" t="s">
        <v>40</v>
      </c>
      <c r="L179" t="str">
        <f t="shared" si="4"/>
        <v>Feb</v>
      </c>
      <c r="M179" t="str">
        <f t="shared" si="5"/>
        <v>Delivered</v>
      </c>
    </row>
    <row r="180" spans="1:13" x14ac:dyDescent="0.3">
      <c r="A180" t="s">
        <v>232</v>
      </c>
      <c r="B180" s="1">
        <v>45741</v>
      </c>
      <c r="C180" t="s">
        <v>53</v>
      </c>
      <c r="D180" t="s">
        <v>36</v>
      </c>
      <c r="E180" s="2">
        <v>40</v>
      </c>
      <c r="F180" s="3">
        <v>1</v>
      </c>
      <c r="G180" s="2">
        <v>40</v>
      </c>
      <c r="H180" t="s">
        <v>29</v>
      </c>
      <c r="I180" t="s">
        <v>63</v>
      </c>
      <c r="J180" t="s">
        <v>39</v>
      </c>
      <c r="K180" t="s">
        <v>17</v>
      </c>
      <c r="L180" t="str">
        <f t="shared" si="4"/>
        <v>Mar</v>
      </c>
      <c r="M180" t="str">
        <f t="shared" si="5"/>
        <v>Cancelled</v>
      </c>
    </row>
    <row r="181" spans="1:13" x14ac:dyDescent="0.3">
      <c r="A181" t="s">
        <v>233</v>
      </c>
      <c r="B181" s="1">
        <v>45720</v>
      </c>
      <c r="C181" t="s">
        <v>65</v>
      </c>
      <c r="D181" t="s">
        <v>61</v>
      </c>
      <c r="E181" s="2">
        <v>1200</v>
      </c>
      <c r="F181" s="3">
        <v>3</v>
      </c>
      <c r="G181" s="2">
        <v>3600</v>
      </c>
      <c r="H181" t="s">
        <v>51</v>
      </c>
      <c r="I181" t="s">
        <v>46</v>
      </c>
      <c r="J181" t="s">
        <v>58</v>
      </c>
      <c r="K181" t="s">
        <v>40</v>
      </c>
      <c r="L181" t="str">
        <f t="shared" si="4"/>
        <v>Mar</v>
      </c>
      <c r="M181" t="str">
        <f t="shared" si="5"/>
        <v>Delivered</v>
      </c>
    </row>
    <row r="182" spans="1:13" x14ac:dyDescent="0.3">
      <c r="A182" t="s">
        <v>234</v>
      </c>
      <c r="B182" s="1">
        <v>45719</v>
      </c>
      <c r="C182" t="s">
        <v>12</v>
      </c>
      <c r="D182" t="s">
        <v>13</v>
      </c>
      <c r="E182" s="2">
        <v>60</v>
      </c>
      <c r="F182" s="3">
        <v>2</v>
      </c>
      <c r="G182" s="2">
        <v>120</v>
      </c>
      <c r="H182" t="s">
        <v>51</v>
      </c>
      <c r="I182" t="s">
        <v>68</v>
      </c>
      <c r="J182" t="s">
        <v>16</v>
      </c>
      <c r="K182" t="s">
        <v>17</v>
      </c>
      <c r="L182" t="str">
        <f t="shared" si="4"/>
        <v>Mar</v>
      </c>
      <c r="M182" t="str">
        <f t="shared" si="5"/>
        <v>Cancelled</v>
      </c>
    </row>
    <row r="183" spans="1:13" x14ac:dyDescent="0.3">
      <c r="A183" t="s">
        <v>235</v>
      </c>
      <c r="B183" s="1">
        <v>45749</v>
      </c>
      <c r="C183" t="s">
        <v>35</v>
      </c>
      <c r="D183" t="s">
        <v>36</v>
      </c>
      <c r="E183" s="2">
        <v>20</v>
      </c>
      <c r="F183" s="3">
        <v>5</v>
      </c>
      <c r="G183" s="2">
        <v>100</v>
      </c>
      <c r="H183" t="s">
        <v>14</v>
      </c>
      <c r="I183" t="s">
        <v>26</v>
      </c>
      <c r="J183" t="s">
        <v>39</v>
      </c>
      <c r="K183" t="s">
        <v>40</v>
      </c>
      <c r="L183" t="str">
        <f t="shared" si="4"/>
        <v>Apr</v>
      </c>
      <c r="M183" t="str">
        <f t="shared" si="5"/>
        <v>Delivered</v>
      </c>
    </row>
    <row r="184" spans="1:13" x14ac:dyDescent="0.3">
      <c r="A184" t="s">
        <v>236</v>
      </c>
      <c r="B184" s="1">
        <v>45741</v>
      </c>
      <c r="C184" t="s">
        <v>60</v>
      </c>
      <c r="D184" t="s">
        <v>61</v>
      </c>
      <c r="E184" s="2">
        <v>600</v>
      </c>
      <c r="F184" s="3">
        <v>1</v>
      </c>
      <c r="G184" s="2">
        <v>600</v>
      </c>
      <c r="H184" t="s">
        <v>14</v>
      </c>
      <c r="I184" t="s">
        <v>63</v>
      </c>
      <c r="J184" t="s">
        <v>16</v>
      </c>
      <c r="K184" t="s">
        <v>23</v>
      </c>
      <c r="L184" t="str">
        <f t="shared" si="4"/>
        <v>Mar</v>
      </c>
      <c r="M184" t="str">
        <f t="shared" si="5"/>
        <v>Pending</v>
      </c>
    </row>
    <row r="185" spans="1:13" x14ac:dyDescent="0.3">
      <c r="A185" t="s">
        <v>237</v>
      </c>
      <c r="B185" s="1">
        <v>45705</v>
      </c>
      <c r="C185" t="s">
        <v>49</v>
      </c>
      <c r="D185" t="s">
        <v>50</v>
      </c>
      <c r="E185" s="2">
        <v>15</v>
      </c>
      <c r="F185" s="3">
        <v>5</v>
      </c>
      <c r="G185" s="2">
        <v>75</v>
      </c>
      <c r="H185" t="s">
        <v>57</v>
      </c>
      <c r="I185" t="s">
        <v>44</v>
      </c>
      <c r="J185" t="s">
        <v>16</v>
      </c>
      <c r="K185" t="s">
        <v>23</v>
      </c>
      <c r="L185" t="str">
        <f t="shared" si="4"/>
        <v>Feb</v>
      </c>
      <c r="M185" t="str">
        <f t="shared" si="5"/>
        <v>Pending</v>
      </c>
    </row>
    <row r="186" spans="1:13" x14ac:dyDescent="0.3">
      <c r="A186" t="s">
        <v>238</v>
      </c>
      <c r="B186" s="1">
        <v>45738</v>
      </c>
      <c r="C186" t="s">
        <v>35</v>
      </c>
      <c r="D186" t="s">
        <v>36</v>
      </c>
      <c r="E186" s="2">
        <v>20</v>
      </c>
      <c r="F186" s="3">
        <v>1</v>
      </c>
      <c r="G186" s="2">
        <v>20</v>
      </c>
      <c r="H186" t="s">
        <v>72</v>
      </c>
      <c r="I186" t="s">
        <v>30</v>
      </c>
      <c r="J186" t="s">
        <v>16</v>
      </c>
      <c r="K186" t="s">
        <v>40</v>
      </c>
      <c r="L186" t="str">
        <f t="shared" si="4"/>
        <v>Mar</v>
      </c>
      <c r="M186" t="str">
        <f t="shared" si="5"/>
        <v>Delivered</v>
      </c>
    </row>
    <row r="187" spans="1:13" x14ac:dyDescent="0.3">
      <c r="A187" t="s">
        <v>239</v>
      </c>
      <c r="B187" s="1">
        <v>45718</v>
      </c>
      <c r="C187" t="s">
        <v>60</v>
      </c>
      <c r="D187" t="s">
        <v>61</v>
      </c>
      <c r="E187" s="2">
        <v>600</v>
      </c>
      <c r="F187" s="3">
        <v>4</v>
      </c>
      <c r="G187" s="2">
        <v>2400</v>
      </c>
      <c r="H187" t="s">
        <v>54</v>
      </c>
      <c r="I187" t="s">
        <v>15</v>
      </c>
      <c r="J187" t="s">
        <v>39</v>
      </c>
      <c r="K187" t="s">
        <v>40</v>
      </c>
      <c r="L187" t="str">
        <f t="shared" si="4"/>
        <v>Mar</v>
      </c>
      <c r="M187" t="str">
        <f t="shared" si="5"/>
        <v>Delivered</v>
      </c>
    </row>
    <row r="188" spans="1:13" x14ac:dyDescent="0.3">
      <c r="A188" t="s">
        <v>240</v>
      </c>
      <c r="B188" s="1">
        <v>45729</v>
      </c>
      <c r="C188" t="s">
        <v>56</v>
      </c>
      <c r="D188" t="s">
        <v>20</v>
      </c>
      <c r="E188" s="2">
        <v>800</v>
      </c>
      <c r="F188" s="3">
        <v>3</v>
      </c>
      <c r="G188" s="2">
        <v>2400</v>
      </c>
      <c r="H188" t="s">
        <v>25</v>
      </c>
      <c r="I188" t="s">
        <v>15</v>
      </c>
      <c r="J188" t="s">
        <v>39</v>
      </c>
      <c r="K188" t="s">
        <v>23</v>
      </c>
      <c r="L188" t="str">
        <f t="shared" si="4"/>
        <v>Mar</v>
      </c>
      <c r="M188" t="str">
        <f t="shared" si="5"/>
        <v>Pending</v>
      </c>
    </row>
    <row r="189" spans="1:13" x14ac:dyDescent="0.3">
      <c r="A189" t="s">
        <v>241</v>
      </c>
      <c r="B189" s="1">
        <v>45702</v>
      </c>
      <c r="C189" t="s">
        <v>49</v>
      </c>
      <c r="D189" t="s">
        <v>50</v>
      </c>
      <c r="E189" s="2">
        <v>15</v>
      </c>
      <c r="F189" s="3">
        <v>1</v>
      </c>
      <c r="G189" s="2">
        <v>15</v>
      </c>
      <c r="H189" t="s">
        <v>25</v>
      </c>
      <c r="I189" t="s">
        <v>46</v>
      </c>
      <c r="J189" t="s">
        <v>27</v>
      </c>
      <c r="K189" t="s">
        <v>40</v>
      </c>
      <c r="L189" t="str">
        <f t="shared" si="4"/>
        <v>Feb</v>
      </c>
      <c r="M189" t="str">
        <f t="shared" si="5"/>
        <v>Delivered</v>
      </c>
    </row>
    <row r="190" spans="1:13" x14ac:dyDescent="0.3">
      <c r="A190" t="s">
        <v>242</v>
      </c>
      <c r="B190" s="1">
        <v>45698</v>
      </c>
      <c r="C190" t="s">
        <v>56</v>
      </c>
      <c r="D190" t="s">
        <v>20</v>
      </c>
      <c r="E190" s="2">
        <v>800</v>
      </c>
      <c r="F190" s="3">
        <v>3</v>
      </c>
      <c r="G190" s="2">
        <v>2400</v>
      </c>
      <c r="H190" t="s">
        <v>80</v>
      </c>
      <c r="I190" t="s">
        <v>38</v>
      </c>
      <c r="J190" t="s">
        <v>27</v>
      </c>
      <c r="K190" t="s">
        <v>40</v>
      </c>
      <c r="L190" t="str">
        <f t="shared" si="4"/>
        <v>Feb</v>
      </c>
      <c r="M190" t="str">
        <f t="shared" si="5"/>
        <v>Delivered</v>
      </c>
    </row>
    <row r="191" spans="1:13" x14ac:dyDescent="0.3">
      <c r="A191" t="s">
        <v>243</v>
      </c>
      <c r="B191" s="1">
        <v>45711</v>
      </c>
      <c r="C191" t="s">
        <v>12</v>
      </c>
      <c r="D191" t="s">
        <v>13</v>
      </c>
      <c r="E191" s="2">
        <v>60</v>
      </c>
      <c r="F191" s="3">
        <v>1</v>
      </c>
      <c r="G191" s="2">
        <v>60</v>
      </c>
      <c r="H191" t="s">
        <v>43</v>
      </c>
      <c r="I191" t="s">
        <v>38</v>
      </c>
      <c r="J191" t="s">
        <v>39</v>
      </c>
      <c r="K191" t="s">
        <v>40</v>
      </c>
      <c r="L191" t="str">
        <f t="shared" si="4"/>
        <v>Feb</v>
      </c>
      <c r="M191" t="str">
        <f t="shared" si="5"/>
        <v>Delivered</v>
      </c>
    </row>
    <row r="192" spans="1:13" x14ac:dyDescent="0.3">
      <c r="A192" t="s">
        <v>244</v>
      </c>
      <c r="B192" s="1">
        <v>45716</v>
      </c>
      <c r="C192" t="s">
        <v>53</v>
      </c>
      <c r="D192" t="s">
        <v>36</v>
      </c>
      <c r="E192" s="2">
        <v>40</v>
      </c>
      <c r="F192" s="3">
        <v>4</v>
      </c>
      <c r="G192" s="2">
        <v>160</v>
      </c>
      <c r="H192" t="s">
        <v>25</v>
      </c>
      <c r="I192" t="s">
        <v>63</v>
      </c>
      <c r="J192" t="s">
        <v>27</v>
      </c>
      <c r="K192" t="s">
        <v>23</v>
      </c>
      <c r="L192" t="str">
        <f t="shared" si="4"/>
        <v>Feb</v>
      </c>
      <c r="M192" t="str">
        <f t="shared" si="5"/>
        <v>Pending</v>
      </c>
    </row>
    <row r="193" spans="1:13" x14ac:dyDescent="0.3">
      <c r="A193" t="s">
        <v>245</v>
      </c>
      <c r="B193" s="1">
        <v>45747</v>
      </c>
      <c r="C193" t="s">
        <v>19</v>
      </c>
      <c r="D193" t="s">
        <v>20</v>
      </c>
      <c r="E193" s="2">
        <v>100</v>
      </c>
      <c r="F193" s="3">
        <v>3</v>
      </c>
      <c r="G193" s="2">
        <v>300</v>
      </c>
      <c r="H193" t="s">
        <v>43</v>
      </c>
      <c r="I193" t="s">
        <v>30</v>
      </c>
      <c r="J193" t="s">
        <v>58</v>
      </c>
      <c r="K193" t="s">
        <v>23</v>
      </c>
      <c r="L193" t="str">
        <f t="shared" si="4"/>
        <v>Mar</v>
      </c>
      <c r="M193" t="str">
        <f t="shared" si="5"/>
        <v>Pending</v>
      </c>
    </row>
    <row r="194" spans="1:13" x14ac:dyDescent="0.3">
      <c r="A194" t="s">
        <v>246</v>
      </c>
      <c r="B194" s="1">
        <v>45746</v>
      </c>
      <c r="C194" t="s">
        <v>49</v>
      </c>
      <c r="D194" t="s">
        <v>50</v>
      </c>
      <c r="E194" s="2">
        <v>15</v>
      </c>
      <c r="F194" s="3">
        <v>5</v>
      </c>
      <c r="G194" s="2">
        <v>75</v>
      </c>
      <c r="H194" t="s">
        <v>51</v>
      </c>
      <c r="I194" t="s">
        <v>81</v>
      </c>
      <c r="J194" t="s">
        <v>27</v>
      </c>
      <c r="K194" t="s">
        <v>23</v>
      </c>
      <c r="L194" t="str">
        <f t="shared" si="4"/>
        <v>Mar</v>
      </c>
      <c r="M194" t="str">
        <f t="shared" si="5"/>
        <v>Pending</v>
      </c>
    </row>
    <row r="195" spans="1:13" x14ac:dyDescent="0.3">
      <c r="A195" t="s">
        <v>247</v>
      </c>
      <c r="B195" s="1">
        <v>45708</v>
      </c>
      <c r="C195" t="s">
        <v>53</v>
      </c>
      <c r="D195" t="s">
        <v>36</v>
      </c>
      <c r="E195" s="2">
        <v>40</v>
      </c>
      <c r="F195" s="3">
        <v>4</v>
      </c>
      <c r="G195" s="2">
        <v>160</v>
      </c>
      <c r="H195" t="s">
        <v>25</v>
      </c>
      <c r="I195" t="s">
        <v>22</v>
      </c>
      <c r="J195" t="s">
        <v>16</v>
      </c>
      <c r="K195" t="s">
        <v>17</v>
      </c>
      <c r="L195" t="str">
        <f t="shared" ref="L195:L251" si="6">TEXT(B195,"MMM")</f>
        <v>Feb</v>
      </c>
      <c r="M195" t="str">
        <f t="shared" ref="M195:M251" si="7">IF(K195="Completed","Delivered",K195)</f>
        <v>Cancelled</v>
      </c>
    </row>
    <row r="196" spans="1:13" x14ac:dyDescent="0.3">
      <c r="A196" t="s">
        <v>248</v>
      </c>
      <c r="B196" s="1">
        <v>45726</v>
      </c>
      <c r="C196" t="s">
        <v>42</v>
      </c>
      <c r="D196" t="s">
        <v>20</v>
      </c>
      <c r="E196" s="2">
        <v>500</v>
      </c>
      <c r="F196" s="3">
        <v>3</v>
      </c>
      <c r="G196" s="2">
        <v>1500</v>
      </c>
      <c r="H196" t="s">
        <v>29</v>
      </c>
      <c r="I196" t="s">
        <v>26</v>
      </c>
      <c r="J196" t="s">
        <v>58</v>
      </c>
      <c r="K196" t="s">
        <v>17</v>
      </c>
      <c r="L196" t="str">
        <f t="shared" si="6"/>
        <v>Mar</v>
      </c>
      <c r="M196" t="str">
        <f t="shared" si="7"/>
        <v>Cancelled</v>
      </c>
    </row>
    <row r="197" spans="1:13" x14ac:dyDescent="0.3">
      <c r="A197" t="s">
        <v>249</v>
      </c>
      <c r="B197" s="1">
        <v>45720</v>
      </c>
      <c r="C197" t="s">
        <v>19</v>
      </c>
      <c r="D197" t="s">
        <v>20</v>
      </c>
      <c r="E197" s="2">
        <v>100</v>
      </c>
      <c r="F197" s="3">
        <v>5</v>
      </c>
      <c r="G197" s="2">
        <v>500</v>
      </c>
      <c r="H197" t="s">
        <v>57</v>
      </c>
      <c r="I197" t="s">
        <v>63</v>
      </c>
      <c r="J197" t="s">
        <v>16</v>
      </c>
      <c r="K197" t="s">
        <v>23</v>
      </c>
      <c r="L197" t="str">
        <f t="shared" si="6"/>
        <v>Mar</v>
      </c>
      <c r="M197" t="str">
        <f t="shared" si="7"/>
        <v>Pending</v>
      </c>
    </row>
    <row r="198" spans="1:13" x14ac:dyDescent="0.3">
      <c r="A198" t="s">
        <v>250</v>
      </c>
      <c r="B198" s="1">
        <v>45728</v>
      </c>
      <c r="C198" t="s">
        <v>12</v>
      </c>
      <c r="D198" t="s">
        <v>13</v>
      </c>
      <c r="E198" s="2">
        <v>60</v>
      </c>
      <c r="F198" s="3">
        <v>2</v>
      </c>
      <c r="G198" s="2">
        <v>120</v>
      </c>
      <c r="H198" t="s">
        <v>54</v>
      </c>
      <c r="I198" t="s">
        <v>26</v>
      </c>
      <c r="J198" t="s">
        <v>58</v>
      </c>
      <c r="K198" t="s">
        <v>40</v>
      </c>
      <c r="L198" t="str">
        <f t="shared" si="6"/>
        <v>Mar</v>
      </c>
      <c r="M198" t="str">
        <f t="shared" si="7"/>
        <v>Delivered</v>
      </c>
    </row>
    <row r="199" spans="1:13" x14ac:dyDescent="0.3">
      <c r="A199" t="s">
        <v>251</v>
      </c>
      <c r="B199" s="1">
        <v>45708</v>
      </c>
      <c r="C199" t="s">
        <v>56</v>
      </c>
      <c r="D199" t="s">
        <v>20</v>
      </c>
      <c r="E199" s="2">
        <v>800</v>
      </c>
      <c r="F199" s="3">
        <v>4</v>
      </c>
      <c r="G199" s="2">
        <v>3200</v>
      </c>
      <c r="H199" t="s">
        <v>80</v>
      </c>
      <c r="I199" t="s">
        <v>63</v>
      </c>
      <c r="J199" t="s">
        <v>27</v>
      </c>
      <c r="K199" t="s">
        <v>23</v>
      </c>
      <c r="L199" t="str">
        <f t="shared" si="6"/>
        <v>Feb</v>
      </c>
      <c r="M199" t="str">
        <f t="shared" si="7"/>
        <v>Pending</v>
      </c>
    </row>
    <row r="200" spans="1:13" x14ac:dyDescent="0.3">
      <c r="A200" t="s">
        <v>252</v>
      </c>
      <c r="B200" s="1">
        <v>45710</v>
      </c>
      <c r="C200" t="s">
        <v>42</v>
      </c>
      <c r="D200" t="s">
        <v>20</v>
      </c>
      <c r="E200" s="2">
        <v>500</v>
      </c>
      <c r="F200" s="3">
        <v>3</v>
      </c>
      <c r="G200" s="2">
        <v>1500</v>
      </c>
      <c r="H200" t="s">
        <v>72</v>
      </c>
      <c r="I200" t="s">
        <v>30</v>
      </c>
      <c r="J200" t="s">
        <v>31</v>
      </c>
      <c r="K200" t="s">
        <v>40</v>
      </c>
      <c r="L200" t="str">
        <f t="shared" si="6"/>
        <v>Feb</v>
      </c>
      <c r="M200" t="str">
        <f t="shared" si="7"/>
        <v>Delivered</v>
      </c>
    </row>
    <row r="201" spans="1:13" x14ac:dyDescent="0.3">
      <c r="A201" t="s">
        <v>253</v>
      </c>
      <c r="B201" s="1">
        <v>45698</v>
      </c>
      <c r="C201" t="s">
        <v>49</v>
      </c>
      <c r="D201" t="s">
        <v>50</v>
      </c>
      <c r="E201" s="2">
        <v>15</v>
      </c>
      <c r="F201" s="3">
        <v>2</v>
      </c>
      <c r="G201" s="2">
        <v>30</v>
      </c>
      <c r="H201" t="s">
        <v>72</v>
      </c>
      <c r="I201" t="s">
        <v>68</v>
      </c>
      <c r="J201" t="s">
        <v>16</v>
      </c>
      <c r="K201" t="s">
        <v>40</v>
      </c>
      <c r="L201" t="str">
        <f t="shared" si="6"/>
        <v>Feb</v>
      </c>
      <c r="M201" t="str">
        <f t="shared" si="7"/>
        <v>Delivered</v>
      </c>
    </row>
    <row r="202" spans="1:13" x14ac:dyDescent="0.3">
      <c r="A202" t="s">
        <v>254</v>
      </c>
      <c r="B202" s="1">
        <v>45691</v>
      </c>
      <c r="C202" t="s">
        <v>49</v>
      </c>
      <c r="D202" t="s">
        <v>50</v>
      </c>
      <c r="E202" s="2">
        <v>15</v>
      </c>
      <c r="F202" s="3">
        <v>4</v>
      </c>
      <c r="G202" s="2">
        <v>60</v>
      </c>
      <c r="H202" t="s">
        <v>54</v>
      </c>
      <c r="I202" t="s">
        <v>22</v>
      </c>
      <c r="J202" t="s">
        <v>31</v>
      </c>
      <c r="K202" t="s">
        <v>40</v>
      </c>
      <c r="L202" t="str">
        <f t="shared" si="6"/>
        <v>Feb</v>
      </c>
      <c r="M202" t="str">
        <f t="shared" si="7"/>
        <v>Delivered</v>
      </c>
    </row>
    <row r="203" spans="1:13" x14ac:dyDescent="0.3">
      <c r="A203" t="s">
        <v>255</v>
      </c>
      <c r="B203" s="1">
        <v>45709</v>
      </c>
      <c r="C203" t="s">
        <v>42</v>
      </c>
      <c r="D203" t="s">
        <v>20</v>
      </c>
      <c r="E203" s="2">
        <v>500</v>
      </c>
      <c r="F203" s="3">
        <v>2</v>
      </c>
      <c r="G203" s="2">
        <v>1000</v>
      </c>
      <c r="H203" t="s">
        <v>57</v>
      </c>
      <c r="I203" t="s">
        <v>44</v>
      </c>
      <c r="J203" t="s">
        <v>31</v>
      </c>
      <c r="K203" t="s">
        <v>17</v>
      </c>
      <c r="L203" t="str">
        <f t="shared" si="6"/>
        <v>Feb</v>
      </c>
      <c r="M203" t="str">
        <f t="shared" si="7"/>
        <v>Cancelled</v>
      </c>
    </row>
    <row r="204" spans="1:13" x14ac:dyDescent="0.3">
      <c r="A204" t="s">
        <v>256</v>
      </c>
      <c r="B204" s="1">
        <v>45709</v>
      </c>
      <c r="C204" t="s">
        <v>65</v>
      </c>
      <c r="D204" t="s">
        <v>61</v>
      </c>
      <c r="E204" s="2">
        <v>1200</v>
      </c>
      <c r="F204" s="3">
        <v>3</v>
      </c>
      <c r="G204" s="2">
        <v>3600</v>
      </c>
      <c r="H204" t="s">
        <v>25</v>
      </c>
      <c r="I204" t="s">
        <v>30</v>
      </c>
      <c r="J204" t="s">
        <v>16</v>
      </c>
      <c r="K204" t="s">
        <v>40</v>
      </c>
      <c r="L204" t="str">
        <f t="shared" si="6"/>
        <v>Feb</v>
      </c>
      <c r="M204" t="str">
        <f t="shared" si="7"/>
        <v>Delivered</v>
      </c>
    </row>
    <row r="205" spans="1:13" x14ac:dyDescent="0.3">
      <c r="A205" t="s">
        <v>257</v>
      </c>
      <c r="B205" s="1">
        <v>45724</v>
      </c>
      <c r="C205" t="s">
        <v>12</v>
      </c>
      <c r="D205" t="s">
        <v>13</v>
      </c>
      <c r="E205" s="2">
        <v>60</v>
      </c>
      <c r="F205" s="3">
        <v>5</v>
      </c>
      <c r="G205" s="2">
        <v>300</v>
      </c>
      <c r="H205" t="s">
        <v>80</v>
      </c>
      <c r="I205" t="s">
        <v>44</v>
      </c>
      <c r="J205" t="s">
        <v>58</v>
      </c>
      <c r="K205" t="s">
        <v>23</v>
      </c>
      <c r="L205" t="str">
        <f t="shared" si="6"/>
        <v>Mar</v>
      </c>
      <c r="M205" t="str">
        <f t="shared" si="7"/>
        <v>Pending</v>
      </c>
    </row>
    <row r="206" spans="1:13" x14ac:dyDescent="0.3">
      <c r="A206" t="s">
        <v>258</v>
      </c>
      <c r="B206" s="1">
        <v>45715</v>
      </c>
      <c r="C206" t="s">
        <v>19</v>
      </c>
      <c r="D206" t="s">
        <v>20</v>
      </c>
      <c r="E206" s="2">
        <v>100</v>
      </c>
      <c r="F206" s="3">
        <v>2</v>
      </c>
      <c r="G206" s="2">
        <v>200</v>
      </c>
      <c r="H206" t="s">
        <v>51</v>
      </c>
      <c r="I206" t="s">
        <v>38</v>
      </c>
      <c r="J206" t="s">
        <v>39</v>
      </c>
      <c r="K206" t="s">
        <v>40</v>
      </c>
      <c r="L206" t="str">
        <f t="shared" si="6"/>
        <v>Feb</v>
      </c>
      <c r="M206" t="str">
        <f t="shared" si="7"/>
        <v>Delivered</v>
      </c>
    </row>
    <row r="207" spans="1:13" x14ac:dyDescent="0.3">
      <c r="A207" t="s">
        <v>259</v>
      </c>
      <c r="B207" s="1">
        <v>45700</v>
      </c>
      <c r="C207" t="s">
        <v>60</v>
      </c>
      <c r="D207" t="s">
        <v>61</v>
      </c>
      <c r="E207" s="2">
        <v>600</v>
      </c>
      <c r="F207" s="3">
        <v>5</v>
      </c>
      <c r="G207" s="2">
        <v>3000</v>
      </c>
      <c r="H207" t="s">
        <v>14</v>
      </c>
      <c r="I207" t="s">
        <v>44</v>
      </c>
      <c r="J207" t="s">
        <v>27</v>
      </c>
      <c r="K207" t="s">
        <v>23</v>
      </c>
      <c r="L207" t="str">
        <f t="shared" si="6"/>
        <v>Feb</v>
      </c>
      <c r="M207" t="str">
        <f t="shared" si="7"/>
        <v>Pending</v>
      </c>
    </row>
    <row r="208" spans="1:13" x14ac:dyDescent="0.3">
      <c r="A208" t="s">
        <v>260</v>
      </c>
      <c r="B208" s="1">
        <v>45737</v>
      </c>
      <c r="C208" t="s">
        <v>60</v>
      </c>
      <c r="D208" t="s">
        <v>61</v>
      </c>
      <c r="E208" s="2">
        <v>600</v>
      </c>
      <c r="F208" s="3">
        <v>1</v>
      </c>
      <c r="G208" s="2">
        <v>600</v>
      </c>
      <c r="H208" t="s">
        <v>25</v>
      </c>
      <c r="I208" t="s">
        <v>44</v>
      </c>
      <c r="J208" t="s">
        <v>31</v>
      </c>
      <c r="K208" t="s">
        <v>40</v>
      </c>
      <c r="L208" t="str">
        <f t="shared" si="6"/>
        <v>Mar</v>
      </c>
      <c r="M208" t="str">
        <f t="shared" si="7"/>
        <v>Delivered</v>
      </c>
    </row>
    <row r="209" spans="1:13" x14ac:dyDescent="0.3">
      <c r="A209" t="s">
        <v>261</v>
      </c>
      <c r="B209" s="1">
        <v>45690</v>
      </c>
      <c r="C209" t="s">
        <v>65</v>
      </c>
      <c r="D209" t="s">
        <v>61</v>
      </c>
      <c r="E209" s="2">
        <v>1200</v>
      </c>
      <c r="F209" s="3">
        <v>3</v>
      </c>
      <c r="G209" s="2">
        <v>3600</v>
      </c>
      <c r="H209" t="s">
        <v>25</v>
      </c>
      <c r="I209" t="s">
        <v>44</v>
      </c>
      <c r="J209" t="s">
        <v>39</v>
      </c>
      <c r="K209" t="s">
        <v>40</v>
      </c>
      <c r="L209" t="str">
        <f t="shared" si="6"/>
        <v>Feb</v>
      </c>
      <c r="M209" t="str">
        <f t="shared" si="7"/>
        <v>Delivered</v>
      </c>
    </row>
    <row r="210" spans="1:13" x14ac:dyDescent="0.3">
      <c r="A210" t="s">
        <v>262</v>
      </c>
      <c r="B210" s="1">
        <v>45745</v>
      </c>
      <c r="C210" t="s">
        <v>53</v>
      </c>
      <c r="D210" t="s">
        <v>36</v>
      </c>
      <c r="E210" s="2">
        <v>40</v>
      </c>
      <c r="F210" s="3">
        <v>5</v>
      </c>
      <c r="G210" s="2">
        <v>200</v>
      </c>
      <c r="H210" t="s">
        <v>57</v>
      </c>
      <c r="I210" t="s">
        <v>30</v>
      </c>
      <c r="J210" t="s">
        <v>39</v>
      </c>
      <c r="K210" t="s">
        <v>40</v>
      </c>
      <c r="L210" t="str">
        <f t="shared" si="6"/>
        <v>Mar</v>
      </c>
      <c r="M210" t="str">
        <f t="shared" si="7"/>
        <v>Delivered</v>
      </c>
    </row>
    <row r="211" spans="1:13" x14ac:dyDescent="0.3">
      <c r="A211" t="s">
        <v>263</v>
      </c>
      <c r="B211" s="1">
        <v>45739</v>
      </c>
      <c r="C211" t="s">
        <v>56</v>
      </c>
      <c r="D211" t="s">
        <v>20</v>
      </c>
      <c r="E211" s="2">
        <v>800</v>
      </c>
      <c r="F211" s="3">
        <v>3</v>
      </c>
      <c r="G211" s="2">
        <v>2400</v>
      </c>
      <c r="H211" t="s">
        <v>80</v>
      </c>
      <c r="I211" t="s">
        <v>15</v>
      </c>
      <c r="J211" t="s">
        <v>39</v>
      </c>
      <c r="K211" t="s">
        <v>40</v>
      </c>
      <c r="L211" t="str">
        <f t="shared" si="6"/>
        <v>Mar</v>
      </c>
      <c r="M211" t="str">
        <f t="shared" si="7"/>
        <v>Delivered</v>
      </c>
    </row>
    <row r="212" spans="1:13" x14ac:dyDescent="0.3">
      <c r="A212" t="s">
        <v>264</v>
      </c>
      <c r="B212" s="1">
        <v>45729</v>
      </c>
      <c r="C212" t="s">
        <v>42</v>
      </c>
      <c r="D212" t="s">
        <v>20</v>
      </c>
      <c r="E212" s="2">
        <v>500</v>
      </c>
      <c r="F212" s="3">
        <v>1</v>
      </c>
      <c r="G212" s="2">
        <v>500</v>
      </c>
      <c r="H212" t="s">
        <v>51</v>
      </c>
      <c r="I212" t="s">
        <v>44</v>
      </c>
      <c r="J212" t="s">
        <v>58</v>
      </c>
      <c r="K212" t="s">
        <v>23</v>
      </c>
      <c r="L212" t="str">
        <f t="shared" si="6"/>
        <v>Mar</v>
      </c>
      <c r="M212" t="str">
        <f t="shared" si="7"/>
        <v>Pending</v>
      </c>
    </row>
    <row r="213" spans="1:13" x14ac:dyDescent="0.3">
      <c r="A213" t="s">
        <v>265</v>
      </c>
      <c r="B213" s="1">
        <v>45725</v>
      </c>
      <c r="C213" t="s">
        <v>35</v>
      </c>
      <c r="D213" t="s">
        <v>36</v>
      </c>
      <c r="E213" s="2">
        <v>20</v>
      </c>
      <c r="F213" s="3">
        <v>4</v>
      </c>
      <c r="G213" s="2">
        <v>80</v>
      </c>
      <c r="H213" t="s">
        <v>14</v>
      </c>
      <c r="I213" t="s">
        <v>38</v>
      </c>
      <c r="J213" t="s">
        <v>16</v>
      </c>
      <c r="K213" t="s">
        <v>40</v>
      </c>
      <c r="L213" t="str">
        <f t="shared" si="6"/>
        <v>Mar</v>
      </c>
      <c r="M213" t="str">
        <f t="shared" si="7"/>
        <v>Delivered</v>
      </c>
    </row>
    <row r="214" spans="1:13" x14ac:dyDescent="0.3">
      <c r="A214" t="s">
        <v>266</v>
      </c>
      <c r="B214" s="1">
        <v>45694</v>
      </c>
      <c r="C214" t="s">
        <v>56</v>
      </c>
      <c r="D214" t="s">
        <v>20</v>
      </c>
      <c r="E214" s="2">
        <v>800</v>
      </c>
      <c r="F214" s="3">
        <v>1</v>
      </c>
      <c r="G214" s="2">
        <v>800</v>
      </c>
      <c r="H214" t="s">
        <v>80</v>
      </c>
      <c r="I214" t="s">
        <v>68</v>
      </c>
      <c r="J214" t="s">
        <v>27</v>
      </c>
      <c r="K214" t="s">
        <v>17</v>
      </c>
      <c r="L214" t="str">
        <f t="shared" si="6"/>
        <v>Feb</v>
      </c>
      <c r="M214" t="str">
        <f t="shared" si="7"/>
        <v>Cancelled</v>
      </c>
    </row>
    <row r="215" spans="1:13" x14ac:dyDescent="0.3">
      <c r="A215" t="s">
        <v>267</v>
      </c>
      <c r="B215" s="1">
        <v>45706</v>
      </c>
      <c r="C215" t="s">
        <v>33</v>
      </c>
      <c r="D215" t="s">
        <v>20</v>
      </c>
      <c r="E215" s="2">
        <v>150</v>
      </c>
      <c r="F215" s="3">
        <v>5</v>
      </c>
      <c r="G215" s="2">
        <v>750</v>
      </c>
      <c r="H215" t="s">
        <v>21</v>
      </c>
      <c r="I215" t="s">
        <v>38</v>
      </c>
      <c r="J215" t="s">
        <v>16</v>
      </c>
      <c r="K215" t="s">
        <v>40</v>
      </c>
      <c r="L215" t="str">
        <f t="shared" si="6"/>
        <v>Feb</v>
      </c>
      <c r="M215" t="str">
        <f t="shared" si="7"/>
        <v>Delivered</v>
      </c>
    </row>
    <row r="216" spans="1:13" x14ac:dyDescent="0.3">
      <c r="A216" t="s">
        <v>268</v>
      </c>
      <c r="B216" s="1">
        <v>45723</v>
      </c>
      <c r="C216" t="s">
        <v>12</v>
      </c>
      <c r="D216" t="s">
        <v>13</v>
      </c>
      <c r="E216" s="2">
        <v>60</v>
      </c>
      <c r="F216" s="3">
        <v>1</v>
      </c>
      <c r="G216" s="2">
        <v>60</v>
      </c>
      <c r="H216" t="s">
        <v>14</v>
      </c>
      <c r="I216" t="s">
        <v>38</v>
      </c>
      <c r="J216" t="s">
        <v>39</v>
      </c>
      <c r="K216" t="s">
        <v>40</v>
      </c>
      <c r="L216" t="str">
        <f t="shared" si="6"/>
        <v>Mar</v>
      </c>
      <c r="M216" t="str">
        <f t="shared" si="7"/>
        <v>Delivered</v>
      </c>
    </row>
    <row r="217" spans="1:13" x14ac:dyDescent="0.3">
      <c r="A217" t="s">
        <v>269</v>
      </c>
      <c r="B217" s="1">
        <v>45742</v>
      </c>
      <c r="C217" t="s">
        <v>53</v>
      </c>
      <c r="D217" t="s">
        <v>36</v>
      </c>
      <c r="E217" s="2">
        <v>40</v>
      </c>
      <c r="F217" s="3">
        <v>2</v>
      </c>
      <c r="G217" s="2">
        <v>80</v>
      </c>
      <c r="H217" t="s">
        <v>72</v>
      </c>
      <c r="I217" t="s">
        <v>81</v>
      </c>
      <c r="J217" t="s">
        <v>31</v>
      </c>
      <c r="K217" t="s">
        <v>40</v>
      </c>
      <c r="L217" t="str">
        <f t="shared" si="6"/>
        <v>Mar</v>
      </c>
      <c r="M217" t="str">
        <f t="shared" si="7"/>
        <v>Delivered</v>
      </c>
    </row>
    <row r="218" spans="1:13" x14ac:dyDescent="0.3">
      <c r="A218" t="s">
        <v>270</v>
      </c>
      <c r="B218" s="1">
        <v>45735</v>
      </c>
      <c r="C218" t="s">
        <v>12</v>
      </c>
      <c r="D218" t="s">
        <v>13</v>
      </c>
      <c r="E218" s="2">
        <v>60</v>
      </c>
      <c r="F218" s="3">
        <v>2</v>
      </c>
      <c r="G218" s="2">
        <v>120</v>
      </c>
      <c r="H218" t="s">
        <v>14</v>
      </c>
      <c r="I218" t="s">
        <v>46</v>
      </c>
      <c r="J218" t="s">
        <v>58</v>
      </c>
      <c r="K218" t="s">
        <v>23</v>
      </c>
      <c r="L218" t="str">
        <f t="shared" si="6"/>
        <v>Mar</v>
      </c>
      <c r="M218" t="str">
        <f t="shared" si="7"/>
        <v>Pending</v>
      </c>
    </row>
    <row r="219" spans="1:13" x14ac:dyDescent="0.3">
      <c r="A219" t="s">
        <v>271</v>
      </c>
      <c r="B219" s="1">
        <v>45703</v>
      </c>
      <c r="C219" t="s">
        <v>19</v>
      </c>
      <c r="D219" t="s">
        <v>20</v>
      </c>
      <c r="E219" s="2">
        <v>100</v>
      </c>
      <c r="F219" s="3">
        <v>4</v>
      </c>
      <c r="G219" s="2">
        <v>400</v>
      </c>
      <c r="H219" t="s">
        <v>57</v>
      </c>
      <c r="I219" t="s">
        <v>15</v>
      </c>
      <c r="J219" t="s">
        <v>58</v>
      </c>
      <c r="K219" t="s">
        <v>17</v>
      </c>
      <c r="L219" t="str">
        <f t="shared" si="6"/>
        <v>Feb</v>
      </c>
      <c r="M219" t="str">
        <f t="shared" si="7"/>
        <v>Cancelled</v>
      </c>
    </row>
    <row r="220" spans="1:13" x14ac:dyDescent="0.3">
      <c r="A220" t="s">
        <v>272</v>
      </c>
      <c r="B220" s="1">
        <v>45705</v>
      </c>
      <c r="C220" t="s">
        <v>19</v>
      </c>
      <c r="D220" t="s">
        <v>20</v>
      </c>
      <c r="E220" s="2">
        <v>100</v>
      </c>
      <c r="F220" s="3">
        <v>3</v>
      </c>
      <c r="G220" s="2">
        <v>300</v>
      </c>
      <c r="H220" t="s">
        <v>51</v>
      </c>
      <c r="I220" t="s">
        <v>38</v>
      </c>
      <c r="J220" t="s">
        <v>39</v>
      </c>
      <c r="K220" t="s">
        <v>17</v>
      </c>
      <c r="L220" t="str">
        <f t="shared" si="6"/>
        <v>Feb</v>
      </c>
      <c r="M220" t="str">
        <f t="shared" si="7"/>
        <v>Cancelled</v>
      </c>
    </row>
    <row r="221" spans="1:13" x14ac:dyDescent="0.3">
      <c r="A221" t="s">
        <v>273</v>
      </c>
      <c r="B221" s="1">
        <v>45698</v>
      </c>
      <c r="C221" t="s">
        <v>33</v>
      </c>
      <c r="D221" t="s">
        <v>20</v>
      </c>
      <c r="E221" s="2">
        <v>150</v>
      </c>
      <c r="F221" s="3">
        <v>3</v>
      </c>
      <c r="G221" s="2">
        <v>450</v>
      </c>
      <c r="H221" t="s">
        <v>54</v>
      </c>
      <c r="I221" t="s">
        <v>26</v>
      </c>
      <c r="J221" t="s">
        <v>16</v>
      </c>
      <c r="K221" t="s">
        <v>40</v>
      </c>
      <c r="L221" t="str">
        <f t="shared" si="6"/>
        <v>Feb</v>
      </c>
      <c r="M221" t="str">
        <f t="shared" si="7"/>
        <v>Delivered</v>
      </c>
    </row>
    <row r="222" spans="1:13" x14ac:dyDescent="0.3">
      <c r="A222" t="s">
        <v>274</v>
      </c>
      <c r="B222" s="1">
        <v>45716</v>
      </c>
      <c r="C222" t="s">
        <v>60</v>
      </c>
      <c r="D222" t="s">
        <v>61</v>
      </c>
      <c r="E222" s="2">
        <v>600</v>
      </c>
      <c r="F222" s="3">
        <v>2</v>
      </c>
      <c r="G222" s="2">
        <v>1200</v>
      </c>
      <c r="H222" t="s">
        <v>21</v>
      </c>
      <c r="I222" t="s">
        <v>81</v>
      </c>
      <c r="J222" t="s">
        <v>58</v>
      </c>
      <c r="K222" t="s">
        <v>17</v>
      </c>
      <c r="L222" t="str">
        <f t="shared" si="6"/>
        <v>Feb</v>
      </c>
      <c r="M222" t="str">
        <f t="shared" si="7"/>
        <v>Cancelled</v>
      </c>
    </row>
    <row r="223" spans="1:13" x14ac:dyDescent="0.3">
      <c r="A223" t="s">
        <v>275</v>
      </c>
      <c r="B223" s="1">
        <v>45704</v>
      </c>
      <c r="C223" t="s">
        <v>60</v>
      </c>
      <c r="D223" t="s">
        <v>61</v>
      </c>
      <c r="E223" s="2">
        <v>600</v>
      </c>
      <c r="F223" s="3">
        <v>2</v>
      </c>
      <c r="G223" s="2">
        <v>1200</v>
      </c>
      <c r="H223" t="s">
        <v>72</v>
      </c>
      <c r="I223" t="s">
        <v>63</v>
      </c>
      <c r="J223" t="s">
        <v>39</v>
      </c>
      <c r="K223" t="s">
        <v>17</v>
      </c>
      <c r="L223" t="str">
        <f t="shared" si="6"/>
        <v>Feb</v>
      </c>
      <c r="M223" t="str">
        <f t="shared" si="7"/>
        <v>Cancelled</v>
      </c>
    </row>
    <row r="224" spans="1:13" x14ac:dyDescent="0.3">
      <c r="A224" t="s">
        <v>276</v>
      </c>
      <c r="B224" s="1">
        <v>45740</v>
      </c>
      <c r="C224" t="s">
        <v>53</v>
      </c>
      <c r="D224" t="s">
        <v>36</v>
      </c>
      <c r="E224" s="2">
        <v>40</v>
      </c>
      <c r="F224" s="3">
        <v>2</v>
      </c>
      <c r="G224" s="2">
        <v>80</v>
      </c>
      <c r="H224" t="s">
        <v>51</v>
      </c>
      <c r="I224" t="s">
        <v>26</v>
      </c>
      <c r="J224" t="s">
        <v>27</v>
      </c>
      <c r="K224" t="s">
        <v>17</v>
      </c>
      <c r="L224" t="str">
        <f t="shared" si="6"/>
        <v>Mar</v>
      </c>
      <c r="M224" t="str">
        <f t="shared" si="7"/>
        <v>Cancelled</v>
      </c>
    </row>
    <row r="225" spans="1:13" x14ac:dyDescent="0.3">
      <c r="A225" t="s">
        <v>277</v>
      </c>
      <c r="B225" s="1">
        <v>45734</v>
      </c>
      <c r="C225" t="s">
        <v>65</v>
      </c>
      <c r="D225" t="s">
        <v>61</v>
      </c>
      <c r="E225" s="2">
        <v>1200</v>
      </c>
      <c r="F225" s="3">
        <v>1</v>
      </c>
      <c r="G225" s="2">
        <v>1200</v>
      </c>
      <c r="H225" t="s">
        <v>80</v>
      </c>
      <c r="I225" t="s">
        <v>44</v>
      </c>
      <c r="J225" t="s">
        <v>39</v>
      </c>
      <c r="K225" t="s">
        <v>40</v>
      </c>
      <c r="L225" t="str">
        <f t="shared" si="6"/>
        <v>Mar</v>
      </c>
      <c r="M225" t="str">
        <f t="shared" si="7"/>
        <v>Delivered</v>
      </c>
    </row>
    <row r="226" spans="1:13" x14ac:dyDescent="0.3">
      <c r="A226" t="s">
        <v>278</v>
      </c>
      <c r="B226" s="1">
        <v>45727</v>
      </c>
      <c r="C226" t="s">
        <v>53</v>
      </c>
      <c r="D226" t="s">
        <v>36</v>
      </c>
      <c r="E226" s="2">
        <v>40</v>
      </c>
      <c r="F226" s="3">
        <v>1</v>
      </c>
      <c r="G226" s="2">
        <v>40</v>
      </c>
      <c r="H226" t="s">
        <v>43</v>
      </c>
      <c r="I226" t="s">
        <v>15</v>
      </c>
      <c r="J226" t="s">
        <v>58</v>
      </c>
      <c r="K226" t="s">
        <v>17</v>
      </c>
      <c r="L226" t="str">
        <f t="shared" si="6"/>
        <v>Mar</v>
      </c>
      <c r="M226" t="str">
        <f t="shared" si="7"/>
        <v>Cancelled</v>
      </c>
    </row>
    <row r="227" spans="1:13" x14ac:dyDescent="0.3">
      <c r="A227" t="s">
        <v>279</v>
      </c>
      <c r="B227" s="1">
        <v>45721</v>
      </c>
      <c r="C227" t="s">
        <v>12</v>
      </c>
      <c r="D227" t="s">
        <v>13</v>
      </c>
      <c r="E227" s="2">
        <v>60</v>
      </c>
      <c r="F227" s="3">
        <v>4</v>
      </c>
      <c r="G227" s="2">
        <v>240</v>
      </c>
      <c r="H227" t="s">
        <v>72</v>
      </c>
      <c r="I227" t="s">
        <v>81</v>
      </c>
      <c r="J227" t="s">
        <v>27</v>
      </c>
      <c r="K227" t="s">
        <v>40</v>
      </c>
      <c r="L227" t="str">
        <f t="shared" si="6"/>
        <v>Mar</v>
      </c>
      <c r="M227" t="str">
        <f t="shared" si="7"/>
        <v>Delivered</v>
      </c>
    </row>
    <row r="228" spans="1:13" x14ac:dyDescent="0.3">
      <c r="A228" t="s">
        <v>280</v>
      </c>
      <c r="B228" s="1">
        <v>45749</v>
      </c>
      <c r="C228" t="s">
        <v>19</v>
      </c>
      <c r="D228" t="s">
        <v>20</v>
      </c>
      <c r="E228" s="2">
        <v>100</v>
      </c>
      <c r="F228" s="3">
        <v>5</v>
      </c>
      <c r="G228" s="2">
        <v>500</v>
      </c>
      <c r="H228" t="s">
        <v>14</v>
      </c>
      <c r="I228" t="s">
        <v>44</v>
      </c>
      <c r="J228" t="s">
        <v>27</v>
      </c>
      <c r="K228" t="s">
        <v>17</v>
      </c>
      <c r="L228" t="str">
        <f t="shared" si="6"/>
        <v>Apr</v>
      </c>
      <c r="M228" t="str">
        <f t="shared" si="7"/>
        <v>Cancelled</v>
      </c>
    </row>
    <row r="229" spans="1:13" x14ac:dyDescent="0.3">
      <c r="A229" t="s">
        <v>281</v>
      </c>
      <c r="B229" s="1">
        <v>45700</v>
      </c>
      <c r="C229" t="s">
        <v>12</v>
      </c>
      <c r="D229" t="s">
        <v>13</v>
      </c>
      <c r="E229" s="2">
        <v>60</v>
      </c>
      <c r="F229" s="3">
        <v>1</v>
      </c>
      <c r="G229" s="2">
        <v>60</v>
      </c>
      <c r="H229" t="s">
        <v>51</v>
      </c>
      <c r="I229" t="s">
        <v>22</v>
      </c>
      <c r="J229" t="s">
        <v>31</v>
      </c>
      <c r="K229" t="s">
        <v>23</v>
      </c>
      <c r="L229" t="str">
        <f t="shared" si="6"/>
        <v>Feb</v>
      </c>
      <c r="M229" t="str">
        <f t="shared" si="7"/>
        <v>Pending</v>
      </c>
    </row>
    <row r="230" spans="1:13" x14ac:dyDescent="0.3">
      <c r="A230" t="s">
        <v>282</v>
      </c>
      <c r="B230" s="1">
        <v>45737</v>
      </c>
      <c r="C230" t="s">
        <v>12</v>
      </c>
      <c r="D230" t="s">
        <v>13</v>
      </c>
      <c r="E230" s="2">
        <v>60</v>
      </c>
      <c r="F230" s="3">
        <v>3</v>
      </c>
      <c r="G230" s="2">
        <v>180</v>
      </c>
      <c r="H230" t="s">
        <v>14</v>
      </c>
      <c r="I230" t="s">
        <v>22</v>
      </c>
      <c r="J230" t="s">
        <v>31</v>
      </c>
      <c r="K230" t="s">
        <v>23</v>
      </c>
      <c r="L230" t="str">
        <f t="shared" si="6"/>
        <v>Mar</v>
      </c>
      <c r="M230" t="str">
        <f t="shared" si="7"/>
        <v>Pending</v>
      </c>
    </row>
    <row r="231" spans="1:13" x14ac:dyDescent="0.3">
      <c r="A231" t="s">
        <v>283</v>
      </c>
      <c r="B231" s="1">
        <v>45747</v>
      </c>
      <c r="C231" t="s">
        <v>19</v>
      </c>
      <c r="D231" t="s">
        <v>20</v>
      </c>
      <c r="E231" s="2">
        <v>100</v>
      </c>
      <c r="F231" s="3">
        <v>4</v>
      </c>
      <c r="G231" s="2">
        <v>400</v>
      </c>
      <c r="H231" t="s">
        <v>80</v>
      </c>
      <c r="I231" t="s">
        <v>22</v>
      </c>
      <c r="J231" t="s">
        <v>27</v>
      </c>
      <c r="K231" t="s">
        <v>23</v>
      </c>
      <c r="L231" t="str">
        <f t="shared" si="6"/>
        <v>Mar</v>
      </c>
      <c r="M231" t="str">
        <f t="shared" si="7"/>
        <v>Pending</v>
      </c>
    </row>
    <row r="232" spans="1:13" x14ac:dyDescent="0.3">
      <c r="A232" t="s">
        <v>284</v>
      </c>
      <c r="B232" s="1">
        <v>45704</v>
      </c>
      <c r="C232" t="s">
        <v>56</v>
      </c>
      <c r="D232" t="s">
        <v>20</v>
      </c>
      <c r="E232" s="2">
        <v>800</v>
      </c>
      <c r="F232" s="3">
        <v>5</v>
      </c>
      <c r="G232" s="2">
        <v>4000</v>
      </c>
      <c r="H232" t="s">
        <v>80</v>
      </c>
      <c r="I232" t="s">
        <v>46</v>
      </c>
      <c r="J232" t="s">
        <v>31</v>
      </c>
      <c r="K232" t="s">
        <v>17</v>
      </c>
      <c r="L232" t="str">
        <f t="shared" si="6"/>
        <v>Feb</v>
      </c>
      <c r="M232" t="str">
        <f t="shared" si="7"/>
        <v>Cancelled</v>
      </c>
    </row>
    <row r="233" spans="1:13" x14ac:dyDescent="0.3">
      <c r="A233" t="s">
        <v>285</v>
      </c>
      <c r="B233" s="1">
        <v>45730</v>
      </c>
      <c r="C233" t="s">
        <v>65</v>
      </c>
      <c r="D233" t="s">
        <v>61</v>
      </c>
      <c r="E233" s="2">
        <v>1200</v>
      </c>
      <c r="F233" s="3">
        <v>3</v>
      </c>
      <c r="G233" s="2">
        <v>3600</v>
      </c>
      <c r="H233" t="s">
        <v>14</v>
      </c>
      <c r="I233" t="s">
        <v>68</v>
      </c>
      <c r="J233" t="s">
        <v>31</v>
      </c>
      <c r="K233" t="s">
        <v>40</v>
      </c>
      <c r="L233" t="str">
        <f t="shared" si="6"/>
        <v>Mar</v>
      </c>
      <c r="M233" t="str">
        <f t="shared" si="7"/>
        <v>Delivered</v>
      </c>
    </row>
    <row r="234" spans="1:13" x14ac:dyDescent="0.3">
      <c r="A234" t="s">
        <v>286</v>
      </c>
      <c r="B234" s="1">
        <v>45708</v>
      </c>
      <c r="C234" t="s">
        <v>12</v>
      </c>
      <c r="D234" t="s">
        <v>13</v>
      </c>
      <c r="E234" s="2">
        <v>60</v>
      </c>
      <c r="F234" s="3">
        <v>1</v>
      </c>
      <c r="G234" s="2">
        <v>60</v>
      </c>
      <c r="H234" t="s">
        <v>51</v>
      </c>
      <c r="I234" t="s">
        <v>46</v>
      </c>
      <c r="J234" t="s">
        <v>39</v>
      </c>
      <c r="K234" t="s">
        <v>17</v>
      </c>
      <c r="L234" t="str">
        <f t="shared" si="6"/>
        <v>Feb</v>
      </c>
      <c r="M234" t="str">
        <f t="shared" si="7"/>
        <v>Cancelled</v>
      </c>
    </row>
    <row r="235" spans="1:13" x14ac:dyDescent="0.3">
      <c r="A235" t="s">
        <v>287</v>
      </c>
      <c r="B235" s="1">
        <v>45724</v>
      </c>
      <c r="C235" t="s">
        <v>49</v>
      </c>
      <c r="D235" t="s">
        <v>50</v>
      </c>
      <c r="E235" s="2">
        <v>15</v>
      </c>
      <c r="F235" s="3">
        <v>1</v>
      </c>
      <c r="G235" s="2">
        <v>15</v>
      </c>
      <c r="H235" t="s">
        <v>80</v>
      </c>
      <c r="I235" t="s">
        <v>44</v>
      </c>
      <c r="J235" t="s">
        <v>27</v>
      </c>
      <c r="K235" t="s">
        <v>17</v>
      </c>
      <c r="L235" t="str">
        <f t="shared" si="6"/>
        <v>Mar</v>
      </c>
      <c r="M235" t="str">
        <f t="shared" si="7"/>
        <v>Cancelled</v>
      </c>
    </row>
    <row r="236" spans="1:13" x14ac:dyDescent="0.3">
      <c r="A236" t="s">
        <v>288</v>
      </c>
      <c r="B236" s="1">
        <v>45739</v>
      </c>
      <c r="C236" t="s">
        <v>65</v>
      </c>
      <c r="D236" t="s">
        <v>61</v>
      </c>
      <c r="E236" s="2">
        <v>1200</v>
      </c>
      <c r="F236" s="3">
        <v>1</v>
      </c>
      <c r="G236" s="2">
        <v>1200</v>
      </c>
      <c r="H236" t="s">
        <v>57</v>
      </c>
      <c r="I236" t="s">
        <v>30</v>
      </c>
      <c r="J236" t="s">
        <v>39</v>
      </c>
      <c r="K236" t="s">
        <v>40</v>
      </c>
      <c r="L236" t="str">
        <f t="shared" si="6"/>
        <v>Mar</v>
      </c>
      <c r="M236" t="str">
        <f t="shared" si="7"/>
        <v>Delivered</v>
      </c>
    </row>
    <row r="237" spans="1:13" x14ac:dyDescent="0.3">
      <c r="A237" t="s">
        <v>289</v>
      </c>
      <c r="B237" s="1">
        <v>45721</v>
      </c>
      <c r="C237" t="s">
        <v>42</v>
      </c>
      <c r="D237" t="s">
        <v>20</v>
      </c>
      <c r="E237" s="2">
        <v>500</v>
      </c>
      <c r="F237" s="3">
        <v>5</v>
      </c>
      <c r="G237" s="2">
        <v>2500</v>
      </c>
      <c r="H237" t="s">
        <v>25</v>
      </c>
      <c r="I237" t="s">
        <v>46</v>
      </c>
      <c r="J237" t="s">
        <v>39</v>
      </c>
      <c r="K237" t="s">
        <v>40</v>
      </c>
      <c r="L237" t="str">
        <f t="shared" si="6"/>
        <v>Mar</v>
      </c>
      <c r="M237" t="str">
        <f t="shared" si="7"/>
        <v>Delivered</v>
      </c>
    </row>
    <row r="238" spans="1:13" x14ac:dyDescent="0.3">
      <c r="A238" t="s">
        <v>290</v>
      </c>
      <c r="B238" s="1">
        <v>45699</v>
      </c>
      <c r="C238" t="s">
        <v>19</v>
      </c>
      <c r="D238" t="s">
        <v>20</v>
      </c>
      <c r="E238" s="2">
        <v>100</v>
      </c>
      <c r="F238" s="3">
        <v>3</v>
      </c>
      <c r="G238" s="2">
        <v>300</v>
      </c>
      <c r="H238" t="s">
        <v>54</v>
      </c>
      <c r="I238" t="s">
        <v>38</v>
      </c>
      <c r="J238" t="s">
        <v>16</v>
      </c>
      <c r="K238" t="s">
        <v>17</v>
      </c>
      <c r="L238" t="str">
        <f t="shared" si="6"/>
        <v>Feb</v>
      </c>
      <c r="M238" t="str">
        <f t="shared" si="7"/>
        <v>Cancelled</v>
      </c>
    </row>
    <row r="239" spans="1:13" x14ac:dyDescent="0.3">
      <c r="A239" t="s">
        <v>291</v>
      </c>
      <c r="B239" s="1">
        <v>45732</v>
      </c>
      <c r="C239" t="s">
        <v>19</v>
      </c>
      <c r="D239" t="s">
        <v>20</v>
      </c>
      <c r="E239" s="2">
        <v>100</v>
      </c>
      <c r="F239" s="3">
        <v>1</v>
      </c>
      <c r="G239" s="2">
        <v>100</v>
      </c>
      <c r="H239" t="s">
        <v>29</v>
      </c>
      <c r="I239" t="s">
        <v>26</v>
      </c>
      <c r="J239" t="s">
        <v>39</v>
      </c>
      <c r="K239" t="s">
        <v>40</v>
      </c>
      <c r="L239" t="str">
        <f t="shared" si="6"/>
        <v>Mar</v>
      </c>
      <c r="M239" t="str">
        <f t="shared" si="7"/>
        <v>Delivered</v>
      </c>
    </row>
    <row r="240" spans="1:13" x14ac:dyDescent="0.3">
      <c r="A240" t="s">
        <v>292</v>
      </c>
      <c r="B240" s="1">
        <v>45738</v>
      </c>
      <c r="C240" t="s">
        <v>33</v>
      </c>
      <c r="D240" t="s">
        <v>20</v>
      </c>
      <c r="E240" s="2">
        <v>150</v>
      </c>
      <c r="F240" s="3">
        <v>5</v>
      </c>
      <c r="G240" s="2">
        <v>750</v>
      </c>
      <c r="H240" t="s">
        <v>57</v>
      </c>
      <c r="I240" t="s">
        <v>38</v>
      </c>
      <c r="J240" t="s">
        <v>27</v>
      </c>
      <c r="K240" t="s">
        <v>40</v>
      </c>
      <c r="L240" t="str">
        <f t="shared" si="6"/>
        <v>Mar</v>
      </c>
      <c r="M240" t="str">
        <f t="shared" si="7"/>
        <v>Delivered</v>
      </c>
    </row>
    <row r="241" spans="1:13" x14ac:dyDescent="0.3">
      <c r="A241" t="s">
        <v>293</v>
      </c>
      <c r="B241" s="1">
        <v>45697</v>
      </c>
      <c r="C241" t="s">
        <v>33</v>
      </c>
      <c r="D241" t="s">
        <v>20</v>
      </c>
      <c r="E241" s="2">
        <v>150</v>
      </c>
      <c r="F241" s="3">
        <v>1</v>
      </c>
      <c r="G241" s="2">
        <v>150</v>
      </c>
      <c r="H241" t="s">
        <v>25</v>
      </c>
      <c r="I241" t="s">
        <v>26</v>
      </c>
      <c r="J241" t="s">
        <v>58</v>
      </c>
      <c r="K241" t="s">
        <v>23</v>
      </c>
      <c r="L241" t="str">
        <f t="shared" si="6"/>
        <v>Feb</v>
      </c>
      <c r="M241" t="str">
        <f t="shared" si="7"/>
        <v>Pending</v>
      </c>
    </row>
    <row r="242" spans="1:13" x14ac:dyDescent="0.3">
      <c r="A242" t="s">
        <v>294</v>
      </c>
      <c r="B242" s="1">
        <v>45746</v>
      </c>
      <c r="C242" t="s">
        <v>42</v>
      </c>
      <c r="D242" t="s">
        <v>20</v>
      </c>
      <c r="E242" s="2">
        <v>500</v>
      </c>
      <c r="F242" s="3">
        <v>4</v>
      </c>
      <c r="G242" s="2">
        <v>2000</v>
      </c>
      <c r="H242" t="s">
        <v>29</v>
      </c>
      <c r="I242" t="s">
        <v>15</v>
      </c>
      <c r="J242" t="s">
        <v>31</v>
      </c>
      <c r="K242" t="s">
        <v>23</v>
      </c>
      <c r="L242" t="str">
        <f t="shared" si="6"/>
        <v>Mar</v>
      </c>
      <c r="M242" t="str">
        <f t="shared" si="7"/>
        <v>Pending</v>
      </c>
    </row>
    <row r="243" spans="1:13" x14ac:dyDescent="0.3">
      <c r="A243" t="s">
        <v>295</v>
      </c>
      <c r="B243" s="1">
        <v>45724</v>
      </c>
      <c r="C243" t="s">
        <v>42</v>
      </c>
      <c r="D243" t="s">
        <v>20</v>
      </c>
      <c r="E243" s="2">
        <v>500</v>
      </c>
      <c r="F243" s="3">
        <v>4</v>
      </c>
      <c r="G243" s="2">
        <v>2000</v>
      </c>
      <c r="H243" t="s">
        <v>72</v>
      </c>
      <c r="I243" t="s">
        <v>46</v>
      </c>
      <c r="J243" t="s">
        <v>58</v>
      </c>
      <c r="K243" t="s">
        <v>23</v>
      </c>
      <c r="L243" t="str">
        <f t="shared" si="6"/>
        <v>Mar</v>
      </c>
      <c r="M243" t="str">
        <f t="shared" si="7"/>
        <v>Pending</v>
      </c>
    </row>
    <row r="244" spans="1:13" x14ac:dyDescent="0.3">
      <c r="A244" t="s">
        <v>296</v>
      </c>
      <c r="B244" s="1">
        <v>45721</v>
      </c>
      <c r="C244" t="s">
        <v>12</v>
      </c>
      <c r="D244" t="s">
        <v>13</v>
      </c>
      <c r="E244" s="2">
        <v>60</v>
      </c>
      <c r="F244" s="3">
        <v>2</v>
      </c>
      <c r="G244" s="2">
        <v>120</v>
      </c>
      <c r="H244" t="s">
        <v>72</v>
      </c>
      <c r="I244" t="s">
        <v>38</v>
      </c>
      <c r="J244" t="s">
        <v>27</v>
      </c>
      <c r="K244" t="s">
        <v>40</v>
      </c>
      <c r="L244" t="str">
        <f t="shared" si="6"/>
        <v>Mar</v>
      </c>
      <c r="M244" t="str">
        <f t="shared" si="7"/>
        <v>Delivered</v>
      </c>
    </row>
    <row r="245" spans="1:13" x14ac:dyDescent="0.3">
      <c r="A245" t="s">
        <v>297</v>
      </c>
      <c r="B245" s="1">
        <v>45694</v>
      </c>
      <c r="C245" t="s">
        <v>42</v>
      </c>
      <c r="D245" t="s">
        <v>20</v>
      </c>
      <c r="E245" s="2">
        <v>500</v>
      </c>
      <c r="F245" s="3">
        <v>4</v>
      </c>
      <c r="G245" s="2">
        <v>2000</v>
      </c>
      <c r="H245" t="s">
        <v>14</v>
      </c>
      <c r="I245" t="s">
        <v>38</v>
      </c>
      <c r="J245" t="s">
        <v>31</v>
      </c>
      <c r="K245" t="s">
        <v>40</v>
      </c>
      <c r="L245" t="str">
        <f t="shared" si="6"/>
        <v>Feb</v>
      </c>
      <c r="M245" t="str">
        <f t="shared" si="7"/>
        <v>Delivered</v>
      </c>
    </row>
    <row r="246" spans="1:13" x14ac:dyDescent="0.3">
      <c r="A246" t="s">
        <v>298</v>
      </c>
      <c r="B246" s="1">
        <v>45692</v>
      </c>
      <c r="C246" t="s">
        <v>56</v>
      </c>
      <c r="D246" t="s">
        <v>20</v>
      </c>
      <c r="E246" s="2">
        <v>800</v>
      </c>
      <c r="F246" s="3">
        <v>1</v>
      </c>
      <c r="G246" s="2">
        <v>800</v>
      </c>
      <c r="H246" t="s">
        <v>54</v>
      </c>
      <c r="I246" t="s">
        <v>68</v>
      </c>
      <c r="J246" t="s">
        <v>31</v>
      </c>
      <c r="K246" t="s">
        <v>17</v>
      </c>
      <c r="L246" t="str">
        <f t="shared" si="6"/>
        <v>Feb</v>
      </c>
      <c r="M246" t="str">
        <f t="shared" si="7"/>
        <v>Cancelled</v>
      </c>
    </row>
    <row r="247" spans="1:13" x14ac:dyDescent="0.3">
      <c r="A247" t="s">
        <v>299</v>
      </c>
      <c r="B247" s="1">
        <v>45733</v>
      </c>
      <c r="C247" t="s">
        <v>35</v>
      </c>
      <c r="D247" t="s">
        <v>36</v>
      </c>
      <c r="E247" s="2">
        <v>20</v>
      </c>
      <c r="F247" s="3">
        <v>2</v>
      </c>
      <c r="G247" s="2">
        <v>40</v>
      </c>
      <c r="H247" t="s">
        <v>57</v>
      </c>
      <c r="I247" t="s">
        <v>44</v>
      </c>
      <c r="J247" t="s">
        <v>16</v>
      </c>
      <c r="K247" t="s">
        <v>17</v>
      </c>
      <c r="L247" t="str">
        <f t="shared" si="6"/>
        <v>Mar</v>
      </c>
      <c r="M247" t="str">
        <f t="shared" si="7"/>
        <v>Cancelled</v>
      </c>
    </row>
    <row r="248" spans="1:13" x14ac:dyDescent="0.3">
      <c r="A248" t="s">
        <v>300</v>
      </c>
      <c r="B248" s="1">
        <v>45746</v>
      </c>
      <c r="C248" t="s">
        <v>53</v>
      </c>
      <c r="D248" t="s">
        <v>36</v>
      </c>
      <c r="E248" s="2">
        <v>40</v>
      </c>
      <c r="F248" s="3">
        <v>1</v>
      </c>
      <c r="G248" s="2">
        <v>40</v>
      </c>
      <c r="H248" t="s">
        <v>43</v>
      </c>
      <c r="I248" t="s">
        <v>30</v>
      </c>
      <c r="J248" t="s">
        <v>16</v>
      </c>
      <c r="K248" t="s">
        <v>17</v>
      </c>
      <c r="L248" t="str">
        <f t="shared" si="6"/>
        <v>Mar</v>
      </c>
      <c r="M248" t="str">
        <f t="shared" si="7"/>
        <v>Cancelled</v>
      </c>
    </row>
    <row r="249" spans="1:13" x14ac:dyDescent="0.3">
      <c r="A249" t="s">
        <v>301</v>
      </c>
      <c r="B249" s="1">
        <v>45721</v>
      </c>
      <c r="C249" t="s">
        <v>35</v>
      </c>
      <c r="D249" t="s">
        <v>36</v>
      </c>
      <c r="E249" s="2">
        <v>20</v>
      </c>
      <c r="F249" s="3">
        <v>2</v>
      </c>
      <c r="G249" s="2">
        <v>40</v>
      </c>
      <c r="H249" t="s">
        <v>72</v>
      </c>
      <c r="I249" t="s">
        <v>26</v>
      </c>
      <c r="J249" t="s">
        <v>16</v>
      </c>
      <c r="K249" t="s">
        <v>17</v>
      </c>
      <c r="L249" t="str">
        <f t="shared" si="6"/>
        <v>Mar</v>
      </c>
      <c r="M249" t="str">
        <f t="shared" si="7"/>
        <v>Cancelled</v>
      </c>
    </row>
    <row r="250" spans="1:13" x14ac:dyDescent="0.3">
      <c r="A250" t="s">
        <v>302</v>
      </c>
      <c r="B250" s="1">
        <v>45724</v>
      </c>
      <c r="C250" t="s">
        <v>33</v>
      </c>
      <c r="D250" t="s">
        <v>20</v>
      </c>
      <c r="E250" s="2">
        <v>150</v>
      </c>
      <c r="F250" s="3">
        <v>3</v>
      </c>
      <c r="G250" s="2">
        <v>450</v>
      </c>
      <c r="H250" t="s">
        <v>21</v>
      </c>
      <c r="I250" t="s">
        <v>15</v>
      </c>
      <c r="J250" t="s">
        <v>16</v>
      </c>
      <c r="K250" t="s">
        <v>17</v>
      </c>
      <c r="L250" t="str">
        <f t="shared" si="6"/>
        <v>Mar</v>
      </c>
      <c r="M250" t="str">
        <f t="shared" si="7"/>
        <v>Cancelled</v>
      </c>
    </row>
    <row r="251" spans="1:13" x14ac:dyDescent="0.3">
      <c r="A251" t="s">
        <v>303</v>
      </c>
      <c r="B251" s="1">
        <v>45707</v>
      </c>
      <c r="C251" t="s">
        <v>42</v>
      </c>
      <c r="D251" t="s">
        <v>20</v>
      </c>
      <c r="E251" s="2">
        <v>500</v>
      </c>
      <c r="F251" s="3">
        <v>4</v>
      </c>
      <c r="G251" s="2">
        <v>2000</v>
      </c>
      <c r="H251" t="s">
        <v>21</v>
      </c>
      <c r="I251" t="s">
        <v>63</v>
      </c>
      <c r="J251" t="s">
        <v>27</v>
      </c>
      <c r="K251" t="s">
        <v>40</v>
      </c>
      <c r="L251" t="str">
        <f t="shared" si="6"/>
        <v>Feb</v>
      </c>
      <c r="M251" t="str">
        <f t="shared" si="7"/>
        <v>Delivered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bonagiri hema</cp:lastModifiedBy>
  <dcterms:created xsi:type="dcterms:W3CDTF">2026-09-28T13:50:35Z</dcterms:created>
  <dcterms:modified xsi:type="dcterms:W3CDTF">2026-09-29T08:05:56Z</dcterms:modified>
</cp:coreProperties>
</file>